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pas\Desktop\"/>
    </mc:Choice>
  </mc:AlternateContent>
  <xr:revisionPtr revIDLastSave="0" documentId="13_ncr:1_{C79700C1-8B73-464F-879D-28824BC8641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ccueil" sheetId="7" r:id="rId1"/>
    <sheet name="Listes" sheetId="1" r:id="rId2"/>
    <sheet name="ComparaisonBudgetA" sheetId="74" r:id="rId3"/>
    <sheet name="Impression (2)" sheetId="81" r:id="rId4"/>
    <sheet name="ComparaisonBudgetB" sheetId="75" r:id="rId5"/>
    <sheet name="GraphCompa" sheetId="68" r:id="rId6"/>
    <sheet name="Impression" sheetId="45" r:id="rId7"/>
    <sheet name="ListeEnseignants" sheetId="4" r:id="rId8"/>
    <sheet name="ExempleListeFactures" sheetId="2" r:id="rId9"/>
    <sheet name="ListeFournisseurs" sheetId="5" r:id="rId10"/>
    <sheet name="FraisBudget2020" sheetId="77" r:id="rId11"/>
    <sheet name="FraisBudget" sheetId="10" r:id="rId12"/>
    <sheet name="FraisBudget2022" sheetId="79" r:id="rId13"/>
    <sheet name="Categories" sheetId="73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74" l="1"/>
  <c r="A19" i="74"/>
</calcChain>
</file>

<file path=xl/sharedStrings.xml><?xml version="1.0" encoding="utf-8"?>
<sst xmlns="http://schemas.openxmlformats.org/spreadsheetml/2006/main" count="666" uniqueCount="312">
  <si>
    <t>Godefroid Laurent</t>
  </si>
  <si>
    <t>Matériel de réunion et cours à distance</t>
  </si>
  <si>
    <t>AUTRES FOURNITURES</t>
  </si>
  <si>
    <t>MédiaMarkt</t>
  </si>
  <si>
    <t>Balon Karine</t>
  </si>
  <si>
    <t>Section Comptabilité</t>
  </si>
  <si>
    <t>Déplacements encadrement des étudiants</t>
  </si>
  <si>
    <t>ASSURANCES ET DEPLACEMENTS</t>
  </si>
  <si>
    <t>Réceptions, réunions</t>
  </si>
  <si>
    <t>INFORMATIONS, PUBLICITES, RECEPTIONS, ACTIVITES PEDAGOGIQUES</t>
  </si>
  <si>
    <t>Cense de Lalouette - Tuile au loup SPRL</t>
  </si>
  <si>
    <t>Frais postaux (timbres, recommandés, colis)</t>
  </si>
  <si>
    <t>TELECOMMUNICATIONS ET FRAIS DE PORT</t>
  </si>
  <si>
    <t>Bpost</t>
  </si>
  <si>
    <t>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=</t>
  </si>
  <si>
    <t>Nom fichier</t>
  </si>
  <si>
    <t>Enseignant</t>
  </si>
  <si>
    <t>Concerne</t>
  </si>
  <si>
    <t>Objet</t>
  </si>
  <si>
    <t>Type de frais</t>
  </si>
  <si>
    <t>Catégorie frais</t>
  </si>
  <si>
    <t>Fournisseur</t>
  </si>
  <si>
    <t>Montant</t>
  </si>
  <si>
    <t>Date</t>
  </si>
  <si>
    <t>Num Facture</t>
  </si>
  <si>
    <t>Autres</t>
  </si>
  <si>
    <t xml:space="preserve">AUTRES   </t>
  </si>
  <si>
    <t>Déplacements domicile-lieu de travail</t>
  </si>
  <si>
    <t>Déplacements de tiers</t>
  </si>
  <si>
    <t>Déplacements étudiants</t>
  </si>
  <si>
    <t>Déplacements visites de stage</t>
  </si>
  <si>
    <t>Déplacements missions</t>
  </si>
  <si>
    <t xml:space="preserve">Assurances  </t>
  </si>
  <si>
    <t>Horeca</t>
  </si>
  <si>
    <t>Frais séjour échanges nationaux et internationaux</t>
  </si>
  <si>
    <t>Animations pédagogiques, visites et voyages culturels</t>
  </si>
  <si>
    <t>Frais de réception des jurys</t>
  </si>
  <si>
    <t>Fleurs</t>
  </si>
  <si>
    <t>Cadeaux hors jurys</t>
  </si>
  <si>
    <t>Autres publications</t>
  </si>
  <si>
    <t>Publicité, salons</t>
  </si>
  <si>
    <t>Cotisations, affiliations aux organismes</t>
  </si>
  <si>
    <t>Frais de formation continuée personnel Helha</t>
  </si>
  <si>
    <t>Conférenciers, autres intervenants</t>
  </si>
  <si>
    <t>Vacataires</t>
  </si>
  <si>
    <t>RETRIBUTIONS DE TIERS</t>
  </si>
  <si>
    <t>Autre matériel</t>
  </si>
  <si>
    <t>Outillage</t>
  </si>
  <si>
    <t>Bibliothèque</t>
  </si>
  <si>
    <t>Abonnements informatiques et licences pédagogiques</t>
  </si>
  <si>
    <t>Abonnements informatiques et licences de bureau/informatiques</t>
  </si>
  <si>
    <t>Location immobilier</t>
  </si>
  <si>
    <t>Location mobilier</t>
  </si>
  <si>
    <t>Mobilier pédagogique</t>
  </si>
  <si>
    <t>Mobilier de bureau</t>
  </si>
  <si>
    <t>Matériel informatique pédagogique</t>
  </si>
  <si>
    <t>Matériel informatique de bureau</t>
  </si>
  <si>
    <t>Matériel pédagogique</t>
  </si>
  <si>
    <t>Matériel de bureau</t>
  </si>
  <si>
    <t>Photocopies faites à l'extérieur</t>
  </si>
  <si>
    <t>Gsm</t>
  </si>
  <si>
    <t>Téléphone, Intenet, fax, télédistribution</t>
  </si>
  <si>
    <t>Petits travaux</t>
  </si>
  <si>
    <t>Entretien mobilier et matériel</t>
  </si>
  <si>
    <t>Entreprises extérieures de nettoyage</t>
  </si>
  <si>
    <t>ENTRETIENS ET REPARATIONS</t>
  </si>
  <si>
    <t>Servais Michel</t>
  </si>
  <si>
    <t>Raux Catherine</t>
  </si>
  <si>
    <t>Philippart Jacqueline</t>
  </si>
  <si>
    <t>Mercier Pierre</t>
  </si>
  <si>
    <t>Mees Dominique</t>
  </si>
  <si>
    <t>Madeira Vanessa</t>
  </si>
  <si>
    <t>Lesoil Florence</t>
  </si>
  <si>
    <t>Knops Jean-Claude</t>
  </si>
  <si>
    <t>Durez Sophie</t>
  </si>
  <si>
    <t>Dumont Anne</t>
  </si>
  <si>
    <t>Detrie Xavier</t>
  </si>
  <si>
    <t>Dancsa Christelle</t>
  </si>
  <si>
    <t>D'Ambrosio Marie</t>
  </si>
  <si>
    <t>Crespin Sophie</t>
  </si>
  <si>
    <t>Colmant Aurélien</t>
  </si>
  <si>
    <t>Carpentier Jean-Michel</t>
  </si>
  <si>
    <t xml:space="preserve">Biefnot Pascale </t>
  </si>
  <si>
    <t>Altares Valentin</t>
  </si>
  <si>
    <t>Enseignants</t>
  </si>
  <si>
    <t>revues, comptabilité créative, archives, la lettre TVA</t>
  </si>
  <si>
    <t>Wolters Kluwer</t>
  </si>
  <si>
    <t>intervention, AG, structuration charte de valeurs, formation, animation, réflexion</t>
  </si>
  <si>
    <t>g.beyens@wedocare.be</t>
  </si>
  <si>
    <t>0472/66.87.10</t>
  </si>
  <si>
    <t>We Do Care</t>
  </si>
  <si>
    <t>routeur Wi-Fi, tablette graphique</t>
  </si>
  <si>
    <t>02/334.00.00</t>
  </si>
  <si>
    <t>Vanden Borre</t>
  </si>
  <si>
    <t>location salle de réunion, auditoire, classe</t>
  </si>
  <si>
    <t>065/39.02.07</t>
  </si>
  <si>
    <t>Van der Valk Congres Hotel Mons</t>
  </si>
  <si>
    <t>cotisation Union Hennuyère des professionnels de la comptabilité</t>
  </si>
  <si>
    <t>secretariat@uhpc.be</t>
  </si>
  <si>
    <t>065/34.64.91</t>
  </si>
  <si>
    <t>Union Hennuyère des professionnels de la comptabilité</t>
  </si>
  <si>
    <t>inscription CAPAES</t>
  </si>
  <si>
    <t>compta-sic@uclouvain.be</t>
  </si>
  <si>
    <t>UCL Louvain</t>
  </si>
  <si>
    <t>abonnement Test-Achats, Budget &amp; Droits</t>
  </si>
  <si>
    <t>02/542.33.00</t>
  </si>
  <si>
    <t>Test Achats</t>
  </si>
  <si>
    <t>voyage, avion</t>
  </si>
  <si>
    <t>info.ty@teralis.be</t>
  </si>
  <si>
    <t>069/76.56.25</t>
  </si>
  <si>
    <t>Teralis</t>
  </si>
  <si>
    <t>SNCB, train, voyage de groupe</t>
  </si>
  <si>
    <t>group@b-rail.be</t>
  </si>
  <si>
    <t>SNCB</t>
  </si>
  <si>
    <t>voyage, Libonne, Portugal, hôtel</t>
  </si>
  <si>
    <t>sanareno@sanahotels.com</t>
  </si>
  <si>
    <t>351.213.13.50.00</t>
  </si>
  <si>
    <t>Sana Reno</t>
  </si>
  <si>
    <t>formation continuée enseignant</t>
  </si>
  <si>
    <t>Publimats</t>
  </si>
  <si>
    <t xml:space="preserve">projet Voltaire, épreuve orthographe, licence </t>
  </si>
  <si>
    <t>facturation@projet-voltaire.fr</t>
  </si>
  <si>
    <t>Projet Voltaire</t>
  </si>
  <si>
    <t>guide, musée, voyage, Mons</t>
  </si>
  <si>
    <t>Pro Forma</t>
  </si>
  <si>
    <t>livre, cd audio, néerlandais</t>
  </si>
  <si>
    <t>uitgeverij@peckelmansuitgevers.be</t>
  </si>
  <si>
    <t>03/660.27.00</t>
  </si>
  <si>
    <t>Peckelmans uitgevers</t>
  </si>
  <si>
    <t>comptabilité, fiscalité, contrôle et révision, consolidation, prestations</t>
  </si>
  <si>
    <t>Nkuete Simon</t>
  </si>
  <si>
    <t>voyage Amsterdam</t>
  </si>
  <si>
    <t>Mystery city</t>
  </si>
  <si>
    <t>spectacle, musée, voyage</t>
  </si>
  <si>
    <t>95.434.03.11</t>
  </si>
  <si>
    <t>Museo del baile flamenco</t>
  </si>
  <si>
    <t>visite ville, restaurant Milan, voyage</t>
  </si>
  <si>
    <t>Musement</t>
  </si>
  <si>
    <t>casque, disque dur, routeur Wi-Fi, câble réseau, adaptateurs HDMI-VGA pour projecteur, tablette graphique</t>
  </si>
  <si>
    <t>cartouche d'encre, cahier atoma, stabilo</t>
  </si>
  <si>
    <t>069/21.20.61</t>
  </si>
  <si>
    <t xml:space="preserve">Mattco </t>
  </si>
  <si>
    <t>data hub USB 4 ports</t>
  </si>
  <si>
    <t>Matricom Corp</t>
  </si>
  <si>
    <t>programmation, techniques d'affichage</t>
  </si>
  <si>
    <t>Mastery.games</t>
  </si>
  <si>
    <t>guide, langue étrangère, ticket, entrée musée, voyage</t>
  </si>
  <si>
    <t>info@maritiemmuseum.nl</t>
  </si>
  <si>
    <t>31.0.10.413.26.80</t>
  </si>
  <si>
    <t>Maritiem Museum</t>
  </si>
  <si>
    <t>comptabilité, fiscalité, prestations</t>
  </si>
  <si>
    <t>Lucion Alexandre</t>
  </si>
  <si>
    <t>photocopies</t>
  </si>
  <si>
    <t>065/56.91.47</t>
  </si>
  <si>
    <t>Loca Copy</t>
  </si>
  <si>
    <t>insertion dans la revue annuelle, projet YEP</t>
  </si>
  <si>
    <t>info@lje.be</t>
  </si>
  <si>
    <t>02/245.13.80</t>
  </si>
  <si>
    <t>LJE Les Jeunes Entreprises</t>
  </si>
  <si>
    <t>librairie, livres</t>
  </si>
  <si>
    <t>Litterath@gmail.com</t>
  </si>
  <si>
    <t>069/68.87.55</t>
  </si>
  <si>
    <t>Littérath</t>
  </si>
  <si>
    <t>librairie, livres, ficalité, comptabilité</t>
  </si>
  <si>
    <t>info@librairiequartierlatin.be</t>
  </si>
  <si>
    <t>065/78.54.18</t>
  </si>
  <si>
    <t>Librairie Quartier Latin</t>
  </si>
  <si>
    <t>abonnement GNU/Linux Magazine</t>
  </si>
  <si>
    <t>33.3.67.10.00.20</t>
  </si>
  <si>
    <t>Les Editions Diamond</t>
  </si>
  <si>
    <t>abonnement journal Le Soir</t>
  </si>
  <si>
    <t>abonnements@lesoir.be</t>
  </si>
  <si>
    <t>078/05.05.10</t>
  </si>
  <si>
    <t>Le Soir</t>
  </si>
  <si>
    <t>abonnement actualité fiscale</t>
  </si>
  <si>
    <t>Le Fiscologue</t>
  </si>
  <si>
    <t>casque multimedia</t>
  </si>
  <si>
    <t>mail.box@krefel.be</t>
  </si>
  <si>
    <t>069/58.01.99</t>
  </si>
  <si>
    <t>Krefel</t>
  </si>
  <si>
    <t>voyage autocar</t>
  </si>
  <si>
    <t>info@jumbotourisme.com</t>
  </si>
  <si>
    <t>069/77.44.60</t>
  </si>
  <si>
    <t>Jumbo tourisme</t>
  </si>
  <si>
    <t>pack éducation TOSA</t>
  </si>
  <si>
    <t>contact@isograd.com</t>
  </si>
  <si>
    <t>Isograd</t>
  </si>
  <si>
    <t>abonnement conseils fiscalité, adaptateur HDMI</t>
  </si>
  <si>
    <t>customer.services@indicator-larcier.be</t>
  </si>
  <si>
    <t>0800/39.068</t>
  </si>
  <si>
    <t>Indicator Larcier</t>
  </si>
  <si>
    <t>câble pour casque, câble réseau</t>
  </si>
  <si>
    <t>065/22.79.78</t>
  </si>
  <si>
    <t>Euro-matériel</t>
  </si>
  <si>
    <t>livraison de fleurs</t>
  </si>
  <si>
    <t>info@euroflorist.be</t>
  </si>
  <si>
    <t>Eurofleurist</t>
  </si>
  <si>
    <t>bibliothèque numérique</t>
  </si>
  <si>
    <t>dcaycedo@eni.fr</t>
  </si>
  <si>
    <t>33.2.51.80.31.94</t>
  </si>
  <si>
    <t>ENI Editions</t>
  </si>
  <si>
    <t>entretien et nettoyage</t>
  </si>
  <si>
    <t>info@edenservices.be</t>
  </si>
  <si>
    <t>065/36.18.90</t>
  </si>
  <si>
    <t>Eden Services</t>
  </si>
  <si>
    <t>abonnement Antidote français</t>
  </si>
  <si>
    <t>Druide informatique inc</t>
  </si>
  <si>
    <t>son, éclairage, étude et réalisation, soirée, spectacle, événement, laser, show, caméra captation E-Learning</t>
  </si>
  <si>
    <t>cpandco@skynet.be</t>
  </si>
  <si>
    <t>069/76.66.34</t>
  </si>
  <si>
    <t xml:space="preserve">CP and Co </t>
  </si>
  <si>
    <t>cartouches d'encre</t>
  </si>
  <si>
    <t>065/71.02.11</t>
  </si>
  <si>
    <t>Cora</t>
  </si>
  <si>
    <t>tablette Wacom</t>
  </si>
  <si>
    <t>ceh@scarlet.be</t>
  </si>
  <si>
    <t>065/31.25.26</t>
  </si>
  <si>
    <t>Comptoir électronique</t>
  </si>
  <si>
    <t>stratégie marketing et digitale, rédaction de contenu, référencement, publicité, graphisme</t>
  </si>
  <si>
    <t>jt@commnication-support.be</t>
  </si>
  <si>
    <t>Communication Support</t>
  </si>
  <si>
    <t>location de salle, Calva</t>
  </si>
  <si>
    <t>065/58.74.22</t>
  </si>
  <si>
    <t>Comité des Fêtes de Spiennes asbl</t>
  </si>
  <si>
    <t>cartouche d'encre</t>
  </si>
  <si>
    <t xml:space="preserve">Colruyt </t>
  </si>
  <si>
    <t>cits@helha.be</t>
  </si>
  <si>
    <t>065/40.41.67</t>
  </si>
  <si>
    <t>Cerso</t>
  </si>
  <si>
    <t>location salle de réunion, traiteur, séminaire</t>
  </si>
  <si>
    <t>info@censedelalouette.be</t>
  </si>
  <si>
    <t>0475/36.60.09</t>
  </si>
  <si>
    <t>cotisation Wallonie Picarde</t>
  </si>
  <si>
    <t>info@cciwapi.be</t>
  </si>
  <si>
    <t>069/89.06.89</t>
  </si>
  <si>
    <t>CCI de la Wallonie Picarde asbl</t>
  </si>
  <si>
    <t>voyages scolaires, de groupe</t>
  </si>
  <si>
    <t>groups@brusselsairlines.com</t>
  </si>
  <si>
    <t>Brussels airlines</t>
  </si>
  <si>
    <t>bloc prises</t>
  </si>
  <si>
    <t>Brico</t>
  </si>
  <si>
    <t>recommandé, timbre, envoi paquet</t>
  </si>
  <si>
    <t>tableau</t>
  </si>
  <si>
    <t>azbureauservice@skynet.be</t>
  </si>
  <si>
    <t>067/55.24.87</t>
  </si>
  <si>
    <t>A-Z Bureau Service</t>
  </si>
  <si>
    <t>matériel de bureau, pédagogique, réunion à distance, rallonge USB, Clevertouch, Conen, Sennheiser, Vivitek, Lumens, Avadis</t>
  </si>
  <si>
    <t>info@avadis.be</t>
  </si>
  <si>
    <t>069/60.80.00</t>
  </si>
  <si>
    <t xml:space="preserve">Avadis </t>
  </si>
  <si>
    <t>cartouche d'encre, radiateur chauffage électrique, écran de projection motorisé, tablette graphique, pochette tablette graphique</t>
  </si>
  <si>
    <t>Amazon</t>
  </si>
  <si>
    <t>location matériel, table</t>
  </si>
  <si>
    <t>contact@altrego.be</t>
  </si>
  <si>
    <t>065/84.82.22</t>
  </si>
  <si>
    <t>Altrego</t>
  </si>
  <si>
    <t>Archives</t>
  </si>
  <si>
    <t>Année</t>
  </si>
  <si>
    <t>BUDGET PREVISIONNEL POUR</t>
  </si>
  <si>
    <t>TOTAL DES FRAIS EN</t>
  </si>
  <si>
    <t>Données de la feuille</t>
  </si>
  <si>
    <t>Titre</t>
  </si>
  <si>
    <t>Catégorie</t>
  </si>
  <si>
    <t>AUTRES</t>
  </si>
  <si>
    <t>Campus Mons</t>
  </si>
  <si>
    <t>Département économique</t>
  </si>
  <si>
    <t>Section informatique de gestion</t>
  </si>
  <si>
    <t>Section assistant de direction</t>
  </si>
  <si>
    <t>Bilan budget</t>
  </si>
  <si>
    <t>Bilan frais</t>
  </si>
  <si>
    <t>Comparatif budget</t>
  </si>
  <si>
    <t>Graphiques</t>
  </si>
  <si>
    <t>Total</t>
  </si>
  <si>
    <t>Filtre jour</t>
  </si>
  <si>
    <t>Filtre mois</t>
  </si>
  <si>
    <t>Filtre an</t>
  </si>
  <si>
    <t>Filtre montant</t>
  </si>
  <si>
    <t>Filtre fournisseur</t>
  </si>
  <si>
    <t>Filtre type</t>
  </si>
  <si>
    <t>Filtre objet</t>
  </si>
  <si>
    <t>Filtre concerne</t>
  </si>
  <si>
    <t>Comparatif des frais</t>
  </si>
  <si>
    <t>Popa Stefan</t>
  </si>
  <si>
    <t>1BI1B</t>
  </si>
  <si>
    <t>Projet VBA</t>
  </si>
  <si>
    <t>2020-2021</t>
  </si>
  <si>
    <t>BUDGET PREVISIONNEL POUR 2020</t>
  </si>
  <si>
    <t>TOTAL DES FRAIS EN 2020</t>
  </si>
  <si>
    <t>FraisBudget2020</t>
  </si>
  <si>
    <t>2020-1</t>
  </si>
  <si>
    <t>Envoie de bulletins</t>
  </si>
  <si>
    <t>2020-1.pdf</t>
  </si>
  <si>
    <t>Europub</t>
  </si>
  <si>
    <t>2020-2</t>
  </si>
  <si>
    <t>Test</t>
  </si>
  <si>
    <t>2020-2.pdf</t>
  </si>
  <si>
    <t>2020-3</t>
  </si>
  <si>
    <t>Matériel distanciel</t>
  </si>
  <si>
    <t>2020-3.pdf</t>
  </si>
  <si>
    <t>Boulogne Isabellent</t>
  </si>
  <si>
    <t>Gabriel Teodor</t>
  </si>
  <si>
    <t>BUDGET PREVISIONNEL POUR 2022</t>
  </si>
  <si>
    <t>TOTAL DES FRAIS EN 2022</t>
  </si>
  <si>
    <t>FraisBudget2022</t>
  </si>
  <si>
    <t>Amongus</t>
  </si>
  <si>
    <t>Amogus@sus.com</t>
  </si>
  <si>
    <t>sussy baka</t>
  </si>
  <si>
    <t>Comparatif budget 2020 et 2022</t>
  </si>
  <si>
    <t>Comapraison de frais entre 2020 et 2022</t>
  </si>
  <si>
    <t>BUDGET PREVISIONNEL POUR 2050</t>
  </si>
  <si>
    <t>2020 vs 2022</t>
  </si>
  <si>
    <t>Gestion financière HELha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</si>
</sst>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979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3" fillId="2" borderId="0" xfId="0" quotePrefix="1" applyFont="1" applyFill="1" applyAlignment="1">
      <alignment horizontal="center"/>
    </xf>
    <xf numFmtId="0" fontId="1" fillId="2" borderId="0" xfId="0" applyFont="1" applyFill="1"/>
    <xf numFmtId="2" fontId="1" fillId="2" borderId="0" xfId="0" applyNumberFormat="1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0" borderId="0" xfId="0" applyFont="1"/>
    <xf numFmtId="0" fontId="4" fillId="0" borderId="0" xfId="1"/>
    <xf numFmtId="0" fontId="5" fillId="0" borderId="0" xfId="1" applyFont="1"/>
    <xf numFmtId="0" fontId="0" fillId="3" borderId="0" xfId="0" applyFill="1"/>
    <xf numFmtId="0" fontId="0" fillId="4" borderId="0" xfId="0" applyFill="1"/>
    <xf numFmtId="0" fontId="1" fillId="0" borderId="0" xfId="0" applyFont="1"/>
    <xf numFmtId="164" fontId="2" fillId="0" borderId="0" xfId="2" applyNumberFormat="1" applyFont="1"/>
    <xf numFmtId="164" fontId="0" fillId="0" borderId="0" xfId="0" applyNumberFormat="1"/>
    <xf numFmtId="0" fontId="2" fillId="5" borderId="18" xfId="0" applyFont="1" applyFill="1" applyBorder="1"/>
    <xf numFmtId="0" fontId="2" fillId="5" borderId="19" xfId="0" applyFont="1" applyFill="1" applyBorder="1"/>
    <xf numFmtId="0" fontId="2" fillId="5" borderId="20" xfId="0" applyFont="1" applyFill="1" applyBorder="1"/>
    <xf numFmtId="0" fontId="2" fillId="5" borderId="15" xfId="0" applyFont="1" applyFill="1" applyBorder="1"/>
    <xf numFmtId="0" fontId="2" fillId="5" borderId="16" xfId="0" applyFont="1" applyFill="1" applyBorder="1"/>
    <xf numFmtId="0" fontId="2" fillId="5" borderId="17" xfId="0" applyFont="1" applyFill="1" applyBorder="1"/>
    <xf numFmtId="0" fontId="2" fillId="5" borderId="11" xfId="0" applyFont="1" applyFill="1" applyBorder="1"/>
    <xf numFmtId="0" fontId="2" fillId="5" borderId="12" xfId="0" applyFont="1" applyFill="1" applyBorder="1"/>
    <xf numFmtId="0" fontId="2" fillId="5" borderId="13" xfId="0" applyFont="1" applyFill="1" applyBorder="1"/>
    <xf numFmtId="0" fontId="0" fillId="7" borderId="0" xfId="0" applyFill="1"/>
    <xf numFmtId="0" fontId="0" fillId="8" borderId="0" xfId="0" applyFill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5" borderId="15" xfId="0" applyFont="1" applyFill="1" applyBorder="1" applyAlignment="1">
      <alignment horizontal="left"/>
    </xf>
    <xf numFmtId="0" fontId="0" fillId="5" borderId="16" xfId="0" applyFill="1" applyBorder="1" applyAlignment="1">
      <alignment horizontal="left"/>
    </xf>
    <xf numFmtId="164" fontId="0" fillId="0" borderId="25" xfId="0" applyNumberFormat="1" applyBorder="1" applyAlignment="1">
      <alignment horizontal="left"/>
    </xf>
    <xf numFmtId="164" fontId="0" fillId="0" borderId="20" xfId="0" applyNumberFormat="1" applyBorder="1" applyAlignment="1">
      <alignment horizontal="left"/>
    </xf>
    <xf numFmtId="164" fontId="0" fillId="0" borderId="14" xfId="0" applyNumberFormat="1" applyBorder="1" applyAlignment="1">
      <alignment horizontal="left"/>
    </xf>
    <xf numFmtId="164" fontId="0" fillId="0" borderId="17" xfId="0" applyNumberFormat="1" applyBorder="1" applyAlignment="1">
      <alignment horizontal="left"/>
    </xf>
    <xf numFmtId="164" fontId="0" fillId="0" borderId="10" xfId="0" applyNumberFormat="1" applyBorder="1" applyAlignment="1">
      <alignment horizontal="left"/>
    </xf>
    <xf numFmtId="164" fontId="0" fillId="0" borderId="13" xfId="0" applyNumberFormat="1" applyBorder="1" applyAlignment="1">
      <alignment horizontal="left"/>
    </xf>
    <xf numFmtId="7" fontId="2" fillId="6" borderId="9" xfId="0" applyNumberFormat="1" applyFont="1" applyFill="1" applyBorder="1" applyAlignment="1">
      <alignment horizontal="left"/>
    </xf>
    <xf numFmtId="7" fontId="2" fillId="6" borderId="14" xfId="0" applyNumberFormat="1" applyFont="1" applyFill="1" applyBorder="1" applyAlignment="1">
      <alignment horizontal="left"/>
    </xf>
    <xf numFmtId="7" fontId="2" fillId="6" borderId="10" xfId="0" applyNumberFormat="1" applyFont="1" applyFill="1" applyBorder="1" applyAlignment="1">
      <alignment horizontal="left"/>
    </xf>
    <xf numFmtId="0" fontId="2" fillId="10" borderId="18" xfId="0" applyFont="1" applyFill="1" applyBorder="1" applyAlignment="1">
      <alignment horizontal="left"/>
    </xf>
    <xf numFmtId="0" fontId="0" fillId="10" borderId="19" xfId="0" applyFill="1" applyBorder="1" applyAlignment="1">
      <alignment horizontal="left"/>
    </xf>
    <xf numFmtId="0" fontId="1" fillId="12" borderId="15" xfId="0" applyFont="1" applyFill="1" applyBorder="1" applyAlignment="1">
      <alignment horizontal="left"/>
    </xf>
    <xf numFmtId="0" fontId="3" fillId="12" borderId="16" xfId="0" applyFont="1" applyFill="1" applyBorder="1" applyAlignment="1">
      <alignment horizontal="left"/>
    </xf>
    <xf numFmtId="0" fontId="1" fillId="13" borderId="15" xfId="0" applyFont="1" applyFill="1" applyBorder="1" applyAlignment="1">
      <alignment horizontal="left"/>
    </xf>
    <xf numFmtId="0" fontId="3" fillId="13" borderId="16" xfId="0" applyFont="1" applyFill="1" applyBorder="1" applyAlignment="1">
      <alignment horizontal="left"/>
    </xf>
    <xf numFmtId="0" fontId="2" fillId="11" borderId="15" xfId="0" applyFont="1" applyFill="1" applyBorder="1" applyAlignment="1">
      <alignment horizontal="left"/>
    </xf>
    <xf numFmtId="0" fontId="0" fillId="11" borderId="16" xfId="0" applyFill="1" applyBorder="1" applyAlignment="1">
      <alignment horizontal="left"/>
    </xf>
    <xf numFmtId="0" fontId="8" fillId="15" borderId="15" xfId="0" applyFont="1" applyFill="1" applyBorder="1" applyAlignment="1">
      <alignment horizontal="left"/>
    </xf>
    <xf numFmtId="0" fontId="9" fillId="15" borderId="16" xfId="0" applyFont="1" applyFill="1" applyBorder="1" applyAlignment="1">
      <alignment horizontal="left"/>
    </xf>
    <xf numFmtId="0" fontId="2" fillId="14" borderId="11" xfId="0" applyFont="1" applyFill="1" applyBorder="1" applyAlignment="1">
      <alignment horizontal="left"/>
    </xf>
    <xf numFmtId="0" fontId="0" fillId="14" borderId="12" xfId="0" applyFill="1" applyBorder="1" applyAlignment="1">
      <alignment horizontal="left"/>
    </xf>
    <xf numFmtId="0" fontId="0" fillId="0" borderId="1" xfId="0" applyBorder="1"/>
    <xf numFmtId="0" fontId="0" fillId="0" borderId="4" xfId="0" applyBorder="1"/>
    <xf numFmtId="0" fontId="0" fillId="0" borderId="6" xfId="0" applyBorder="1"/>
    <xf numFmtId="164" fontId="0" fillId="5" borderId="14" xfId="0" applyNumberFormat="1" applyFill="1" applyBorder="1" applyAlignment="1">
      <alignment horizontal="left"/>
    </xf>
    <xf numFmtId="164" fontId="0" fillId="5" borderId="17" xfId="0" applyNumberFormat="1" applyFill="1" applyBorder="1" applyAlignment="1">
      <alignment horizontal="left"/>
    </xf>
    <xf numFmtId="0" fontId="2" fillId="5" borderId="21" xfId="0" applyFont="1" applyFill="1" applyBorder="1" applyAlignment="1">
      <alignment horizontal="center"/>
    </xf>
    <xf numFmtId="0" fontId="2" fillId="5" borderId="24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15" xfId="0" applyBorder="1"/>
    <xf numFmtId="0" fontId="0" fillId="0" borderId="11" xfId="0" applyBorder="1"/>
    <xf numFmtId="0" fontId="2" fillId="9" borderId="26" xfId="0" applyFont="1" applyFill="1" applyBorder="1"/>
    <xf numFmtId="164" fontId="2" fillId="9" borderId="26" xfId="2" applyNumberFormat="1" applyFont="1" applyFill="1" applyBorder="1" applyAlignment="1">
      <alignment horizontal="left"/>
    </xf>
    <xf numFmtId="0" fontId="2" fillId="9" borderId="15" xfId="0" applyFont="1" applyFill="1" applyBorder="1"/>
    <xf numFmtId="164" fontId="2" fillId="9" borderId="15" xfId="2" applyNumberFormat="1" applyFont="1" applyFill="1" applyBorder="1" applyAlignment="1">
      <alignment horizontal="left"/>
    </xf>
    <xf numFmtId="164" fontId="2" fillId="9" borderId="14" xfId="0" applyNumberFormat="1" applyFont="1" applyFill="1" applyBorder="1" applyAlignment="1">
      <alignment horizontal="left"/>
    </xf>
    <xf numFmtId="164" fontId="6" fillId="0" borderId="15" xfId="2" applyNumberFormat="1" applyFont="1" applyBorder="1" applyAlignment="1">
      <alignment horizontal="left"/>
    </xf>
    <xf numFmtId="164" fontId="6" fillId="0" borderId="11" xfId="2" applyNumberFormat="1" applyFont="1" applyBorder="1" applyAlignment="1">
      <alignment horizontal="left"/>
    </xf>
    <xf numFmtId="0" fontId="10" fillId="6" borderId="22" xfId="0" applyFont="1" applyFill="1" applyBorder="1" applyAlignment="1">
      <alignment horizontal="center"/>
    </xf>
    <xf numFmtId="0" fontId="10" fillId="6" borderId="22" xfId="0" applyFont="1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/>
    </xf>
    <xf numFmtId="0" fontId="10" fillId="0" borderId="0" xfId="0" applyFont="1"/>
    <xf numFmtId="164" fontId="2" fillId="9" borderId="25" xfId="0" applyNumberFormat="1" applyFont="1" applyFill="1" applyBorder="1" applyAlignment="1">
      <alignment horizontal="left"/>
    </xf>
    <xf numFmtId="164" fontId="2" fillId="9" borderId="14" xfId="2" applyNumberFormat="1" applyFont="1" applyFill="1" applyBorder="1" applyAlignment="1">
      <alignment horizontal="left"/>
    </xf>
    <xf numFmtId="164" fontId="2" fillId="5" borderId="21" xfId="2" applyNumberFormat="1" applyFont="1" applyFill="1" applyBorder="1" applyAlignment="1">
      <alignment horizontal="left"/>
    </xf>
    <xf numFmtId="164" fontId="2" fillId="5" borderId="21" xfId="2" applyNumberFormat="1" applyFont="1" applyFill="1" applyBorder="1" applyAlignment="1">
      <alignment horizontal="left" vertical="top"/>
    </xf>
    <xf numFmtId="2" fontId="2" fillId="0" borderId="0" xfId="0" applyNumberFormat="1" applyFont="1"/>
    <xf numFmtId="164" fontId="2" fillId="0" borderId="0" xfId="0" applyNumberFormat="1" applyFont="1"/>
    <xf numFmtId="14" fontId="0" fillId="0" borderId="0" xfId="0" applyNumberFormat="1"/>
    <xf numFmtId="0" fontId="14" fillId="3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3">
    <cellStyle name="Lien hypertexte" xfId="1" builtinId="8"/>
    <cellStyle name="Monétaire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763596410913753"/>
          <c:y val="5.6847568352384935E-2"/>
          <c:w val="0.66860434596838181"/>
          <c:h val="0.89147282405453787"/>
        </c:manualLayout>
      </c:layout>
      <c:pieChart>
        <c:varyColors val="1"/>
        <c:ser>
          <c:idx val="0"/>
          <c:order val="0"/>
          <c:spPr>
            <a:ln>
              <a:noFill/>
            </a:ln>
            <a:effectLst/>
          </c:spPr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F5-42C1-B122-B6A72F92CEE3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FF5-42C1-B122-B6A72F92CEE3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FF5-42C1-B122-B6A72F92CEE3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FF5-42C1-B122-B6A72F92CEE3}"/>
              </c:ext>
            </c:extLst>
          </c:dPt>
          <c:dPt>
            <c:idx val="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FF5-42C1-B122-B6A72F92CEE3}"/>
              </c:ext>
            </c:extLst>
          </c:dPt>
          <c:dPt>
            <c:idx val="5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FF5-42C1-B122-B6A72F92CEE3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FF5-42C1-B122-B6A72F92CEE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ComparaisonBudgetA!$A$8:$A$14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ComparaisonBudgetA!$F$8:$F$14</c:f>
              <c:numCache>
                <c:formatCode>#\ ##0.00\ "€"</c:formatCode>
                <c:ptCount val="7"/>
                <c:pt idx="0">
                  <c:v>1500</c:v>
                </c:pt>
                <c:pt idx="1">
                  <c:v>2000</c:v>
                </c:pt>
                <c:pt idx="2">
                  <c:v>7500</c:v>
                </c:pt>
                <c:pt idx="3">
                  <c:v>10000</c:v>
                </c:pt>
                <c:pt idx="4">
                  <c:v>5000</c:v>
                </c:pt>
                <c:pt idx="5">
                  <c:v>1500</c:v>
                </c:pt>
                <c:pt idx="6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F5-42C1-B122-B6A72F92CEE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763600202148646"/>
          <c:y val="0.11813648293963254"/>
          <c:w val="0.66860434596838181"/>
          <c:h val="0.89147282405453787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5BB-4151-AA5C-41B17DB3456A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5BB-4151-AA5C-41B17DB3456A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5BB-4151-AA5C-41B17DB3456A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5BB-4151-AA5C-41B17DB3456A}"/>
              </c:ext>
            </c:extLst>
          </c:dPt>
          <c:dPt>
            <c:idx val="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5BB-4151-AA5C-41B17DB3456A}"/>
              </c:ext>
            </c:extLst>
          </c:dPt>
          <c:dPt>
            <c:idx val="5"/>
            <c:bubble3D val="0"/>
            <c:spPr>
              <a:solidFill>
                <a:schemeClr val="tx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5BB-4151-AA5C-41B17DB3456A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5BB-4151-AA5C-41B17DB3456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ComparaisonBudgetA!$A$8:$A$14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ComparaisonBudgetA!$G$8:$G$14</c:f>
              <c:numCache>
                <c:formatCode>#\ ##0.00\ "€"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5BB-4151-AA5C-41B17DB3456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ComparaisonBudgetA!$A$1</c:f>
          <c:strCache>
            <c:ptCount val="1"/>
            <c:pt idx="0">
              <c:v>Comparatif budget 2020 et 2022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ComparaisonBudgetA!$F$7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ComparaisonBudgetA!$A$8:$A$14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ComparaisonBudgetA!$F$8:$F$14</c:f>
              <c:numCache>
                <c:formatCode>#\ ##0.00\ "€"</c:formatCode>
                <c:ptCount val="7"/>
                <c:pt idx="0">
                  <c:v>1500</c:v>
                </c:pt>
                <c:pt idx="1">
                  <c:v>2000</c:v>
                </c:pt>
                <c:pt idx="2">
                  <c:v>7500</c:v>
                </c:pt>
                <c:pt idx="3">
                  <c:v>10000</c:v>
                </c:pt>
                <c:pt idx="4">
                  <c:v>5000</c:v>
                </c:pt>
                <c:pt idx="5">
                  <c:v>1500</c:v>
                </c:pt>
                <c:pt idx="6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6-4C30-A758-767B58D6C284}"/>
            </c:ext>
          </c:extLst>
        </c:ser>
        <c:ser>
          <c:idx val="1"/>
          <c:order val="1"/>
          <c:tx>
            <c:strRef>
              <c:f>ComparaisonBudgetA!$G$7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ComparaisonBudgetA!$A$8:$A$14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ComparaisonBudgetA!$G$8:$G$14</c:f>
              <c:numCache>
                <c:formatCode>#\ ##0.00\ "€"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06-4C30-A758-767B58D6C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0229016"/>
        <c:axId val="690232296"/>
      </c:barChart>
      <c:catAx>
        <c:axId val="690229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0232296"/>
        <c:crosses val="autoZero"/>
        <c:auto val="1"/>
        <c:lblAlgn val="ctr"/>
        <c:lblOffset val="100"/>
        <c:noMultiLvlLbl val="0"/>
      </c:catAx>
      <c:valAx>
        <c:axId val="69023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0229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ComparaisonBudgetB!$A$1</c:f>
          <c:strCache>
            <c:ptCount val="1"/>
            <c:pt idx="0">
              <c:v>Comapraison de frais entre 2020 et 2022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ComparaisonBudgetB!$B$1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(ComparaisonBudgetB!$A$2,ComparaisonBudgetB!$A$6,ComparaisonBudgetB!$A$10,ComparaisonBudgetB!$A$26,ComparaisonBudgetB!$A$31,ComparaisonBudgetB!$A$41,ComparaisonBudgetB!$A$49)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(ComparaisonBudgetB!$B$2,ComparaisonBudgetB!$B$6,ComparaisonBudgetB!$B$10,ComparaisonBudgetB!$B$26,ComparaisonBudgetB!$B$31,ComparaisonBudgetB!$B$41,ComparaisonBudgetB!$B$49)</c:f>
              <c:numCache>
                <c:formatCode>#\ ##0.00\ "€"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100</c:v>
                </c:pt>
                <c:pt idx="3">
                  <c:v>0</c:v>
                </c:pt>
                <c:pt idx="4">
                  <c:v>50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1-4561-B827-1A65B2F6564D}"/>
            </c:ext>
          </c:extLst>
        </c:ser>
        <c:ser>
          <c:idx val="1"/>
          <c:order val="1"/>
          <c:tx>
            <c:strRef>
              <c:f>ComparaisonBudgetB!$C$1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(ComparaisonBudgetB!$A$2,ComparaisonBudgetB!$A$6,ComparaisonBudgetB!$A$10,ComparaisonBudgetB!$A$26,ComparaisonBudgetB!$A$31,ComparaisonBudgetB!$A$41,ComparaisonBudgetB!$A$49)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(ComparaisonBudgetB!$C$2,ComparaisonBudgetB!$C$6,ComparaisonBudgetB!$C$10,ComparaisonBudgetB!$C$26,ComparaisonBudgetB!$C$31,ComparaisonBudgetB!$C$41,ComparaisonBudgetB!$C$49)</c:f>
              <c:numCache>
                <c:formatCode>#\ ##0.00\ "€"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100</c:v>
                </c:pt>
                <c:pt idx="3">
                  <c:v>0</c:v>
                </c:pt>
                <c:pt idx="4">
                  <c:v>50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F1-4561-B827-1A65B2F65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6573680"/>
        <c:axId val="654236280"/>
      </c:barChart>
      <c:catAx>
        <c:axId val="66657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4236280"/>
        <c:crosses val="autoZero"/>
        <c:auto val="1"/>
        <c:lblAlgn val="ctr"/>
        <c:lblOffset val="100"/>
        <c:noMultiLvlLbl val="0"/>
      </c:catAx>
      <c:valAx>
        <c:axId val="65423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657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'Impression (2)'!$E$14</c:f>
          <c:strCache>
            <c:ptCount val="1"/>
          </c:strCache>
        </c:strRef>
      </c:tx>
      <c:layout>
        <c:manualLayout>
          <c:xMode val="edge"/>
          <c:yMode val="edge"/>
          <c:x val="0.45290648357536623"/>
          <c:y val="6.31163629667970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2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895576201763703E-2"/>
          <c:y val="0.11984231842801492"/>
          <c:w val="0.59492502883506337"/>
          <c:h val="0.8138855004568480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57-4BDF-A361-F14EB82E312A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57-4BDF-A361-F14EB82E312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57-4BDF-A361-F14EB82E312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E57-4BDF-A361-F14EB82E312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57-4BDF-A361-F14EB82E312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E57-4BDF-A361-F14EB82E312A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E57-4BDF-A361-F14EB82E312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'Impression (2)'!$A$5:$A$11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'Impression (2)'!$G$5:$G$11</c:f>
              <c:numCache>
                <c:formatCode>"€"#,##0.00_);\("€"#,##0.00\)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200</c:v>
                </c:pt>
                <c:pt idx="5">
                  <c:v>300</c:v>
                </c:pt>
                <c:pt idx="6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57-4BDF-A361-F14EB82E312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GraphCompa!$C$1</c:f>
          <c:strCache>
            <c:ptCount val="1"/>
            <c:pt idx="0">
              <c:v>2020 vs 2022</c:v>
            </c:pt>
          </c:strCache>
        </c:strRef>
      </c:tx>
      <c:layout>
        <c:manualLayout>
          <c:xMode val="edge"/>
          <c:yMode val="edge"/>
          <c:x val="0.46927960820611908"/>
          <c:y val="4.735873313388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575148784809385"/>
          <c:y val="0.16507299138521431"/>
          <c:w val="0.79968821859670136"/>
          <c:h val="0.328930300736522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GraphCompa!$D$1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GraphCompa!$A$2:$A$8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GraphCompa!$D$2:$D$8</c:f>
              <c:numCache>
                <c:formatCode>#\ ##0.00\ "€"</c:formatCode>
                <c:ptCount val="7"/>
                <c:pt idx="0">
                  <c:v>1500</c:v>
                </c:pt>
                <c:pt idx="1">
                  <c:v>2000</c:v>
                </c:pt>
                <c:pt idx="2">
                  <c:v>7500</c:v>
                </c:pt>
                <c:pt idx="3">
                  <c:v>10000</c:v>
                </c:pt>
                <c:pt idx="4">
                  <c:v>5000</c:v>
                </c:pt>
                <c:pt idx="5">
                  <c:v>1500</c:v>
                </c:pt>
                <c:pt idx="6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24-4BBC-B864-86086FA81803}"/>
            </c:ext>
          </c:extLst>
        </c:ser>
        <c:ser>
          <c:idx val="1"/>
          <c:order val="1"/>
          <c:tx>
            <c:strRef>
              <c:f>GraphCompa!$E$1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GraphCompa!$A$2:$A$8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GraphCompa!$E$2:$E$8</c:f>
              <c:numCache>
                <c:formatCode>#\ ##0.00\ "€"</c:formatCode>
                <c:ptCount val="7"/>
                <c:pt idx="0">
                  <c:v>1000</c:v>
                </c:pt>
                <c:pt idx="1">
                  <c:v>2000</c:v>
                </c:pt>
                <c:pt idx="2">
                  <c:v>10000</c:v>
                </c:pt>
                <c:pt idx="3">
                  <c:v>5000</c:v>
                </c:pt>
                <c:pt idx="4">
                  <c:v>2500</c:v>
                </c:pt>
                <c:pt idx="5">
                  <c:v>500</c:v>
                </c:pt>
                <c:pt idx="6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24-4BBC-B864-86086FA8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448"/>
        <c:axId val="223281464"/>
      </c:barChart>
      <c:catAx>
        <c:axId val="22328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3281464"/>
        <c:crosses val="autoZero"/>
        <c:auto val="1"/>
        <c:lblAlgn val="ctr"/>
        <c:lblOffset val="100"/>
        <c:noMultiLvlLbl val="0"/>
      </c:catAx>
      <c:valAx>
        <c:axId val="223281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328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Impression!$E$14</c:f>
          <c:strCache>
            <c:ptCount val="1"/>
          </c:strCache>
        </c:strRef>
      </c:tx>
      <c:layout>
        <c:manualLayout>
          <c:xMode val="edge"/>
          <c:yMode val="edge"/>
          <c:x val="0.45290648357536623"/>
          <c:y val="6.31163629667970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2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895576201763703E-2"/>
          <c:y val="0.11984231842801492"/>
          <c:w val="0.59492502883506337"/>
          <c:h val="0.8138855004568480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CCB-46BC-B85C-9C720CB3F5A7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CCB-46BC-B85C-9C720CB3F5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CCB-46BC-B85C-9C720CB3F5A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CCB-46BC-B85C-9C720CB3F5A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CCB-46BC-B85C-9C720CB3F5A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CCB-46BC-B85C-9C720CB3F5A7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CCB-46BC-B85C-9C720CB3F5A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Impression!$A$5:$A$11</c:f>
              <c:strCache>
                <c:ptCount val="7"/>
                <c:pt idx="0">
                  <c:v>ENTRETIENS ET REPARATIONS</c:v>
                </c:pt>
                <c:pt idx="1">
                  <c:v>TELECOMMUNICATIONS ET FRAIS DE PORT</c:v>
                </c:pt>
                <c:pt idx="2">
                  <c:v>AUTRES FOURNITURES</c:v>
                </c:pt>
                <c:pt idx="3">
                  <c:v>RETRIBUTIONS DE TIERS</c:v>
                </c:pt>
                <c:pt idx="4">
                  <c:v>INFORMATIONS, PUBLICITES, RECEPTIONS, ACTIVITES PEDAGOGIQUES</c:v>
                </c:pt>
                <c:pt idx="5">
                  <c:v>ASSURANCES ET DEPLACEMENTS</c:v>
                </c:pt>
                <c:pt idx="6">
                  <c:v>AUTRES   </c:v>
                </c:pt>
              </c:strCache>
            </c:strRef>
          </c:cat>
          <c:val>
            <c:numRef>
              <c:f>Impression!$G$5:$G$11</c:f>
              <c:numCache>
                <c:formatCode>"€"#,##0.00_);\("€"#,##0.00\)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CCB-46BC-B85C-9C720CB3F5A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5</xdr:row>
          <xdr:rowOff>0</xdr:rowOff>
        </xdr:from>
        <xdr:to>
          <xdr:col>6</xdr:col>
          <xdr:colOff>609600</xdr:colOff>
          <xdr:row>10</xdr:row>
          <xdr:rowOff>161925</xdr:rowOff>
        </xdr:to>
        <xdr:sp macro="" textlink="">
          <xdr:nvSpPr>
            <xdr:cNvPr id="4097" name="Demarrag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76199</xdr:rowOff>
    </xdr:from>
    <xdr:to>
      <xdr:col>4</xdr:col>
      <xdr:colOff>0</xdr:colOff>
      <xdr:row>33</xdr:row>
      <xdr:rowOff>66674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76200</xdr:colOff>
      <xdr:row>18</xdr:row>
      <xdr:rowOff>104774</xdr:rowOff>
    </xdr:from>
    <xdr:to>
      <xdr:col>6</xdr:col>
      <xdr:colOff>723901</xdr:colOff>
      <xdr:row>33</xdr:row>
      <xdr:rowOff>38100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123825</xdr:colOff>
      <xdr:row>17</xdr:row>
      <xdr:rowOff>190500</xdr:rowOff>
    </xdr:from>
    <xdr:to>
      <xdr:col>4</xdr:col>
      <xdr:colOff>124240</xdr:colOff>
      <xdr:row>33</xdr:row>
      <xdr:rowOff>9525</xdr:rowOff>
    </xdr:to>
    <xdr:cxnSp macro="">
      <xdr:nvCxnSpPr>
        <xdr:cNvPr id="5" name="Connecteur droi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H="1">
          <a:off x="3014455" y="3578087"/>
          <a:ext cx="415" cy="300782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33</xdr:row>
      <xdr:rowOff>5799</xdr:rowOff>
    </xdr:from>
    <xdr:to>
      <xdr:col>6</xdr:col>
      <xdr:colOff>755787</xdr:colOff>
      <xdr:row>48</xdr:row>
      <xdr:rowOff>161925</xdr:rowOff>
    </xdr:to>
    <xdr:graphicFrame macro="">
      <xdr:nvGraphicFramePr>
        <xdr:cNvPr id="11" name="Graphique 3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21167</xdr:colOff>
      <xdr:row>4</xdr:row>
      <xdr:rowOff>201083</xdr:rowOff>
    </xdr:from>
    <xdr:to>
      <xdr:col>8</xdr:col>
      <xdr:colOff>740834</xdr:colOff>
      <xdr:row>19</xdr:row>
      <xdr:rowOff>21166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166686</xdr:rowOff>
    </xdr:from>
    <xdr:to>
      <xdr:col>7</xdr:col>
      <xdr:colOff>0</xdr:colOff>
      <xdr:row>36</xdr:row>
      <xdr:rowOff>161925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304801</xdr:colOff>
      <xdr:row>11</xdr:row>
      <xdr:rowOff>0</xdr:rowOff>
    </xdr:from>
    <xdr:to>
      <xdr:col>5</xdr:col>
      <xdr:colOff>238125</xdr:colOff>
      <xdr:row>33</xdr:row>
      <xdr:rowOff>171450</xdr:rowOff>
    </xdr:to>
    <xdr:graphicFrame macro="">
      <xdr:nvGraphicFramePr>
        <xdr:cNvPr id="2" name="CompaBudgetGraph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166686</xdr:rowOff>
    </xdr:from>
    <xdr:to>
      <xdr:col>7</xdr:col>
      <xdr:colOff>0</xdr:colOff>
      <xdr:row>36</xdr:row>
      <xdr:rowOff>161925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info@cciwapi.be" TargetMode="External"/><Relationship Id="rId13" Type="http://schemas.openxmlformats.org/officeDocument/2006/relationships/hyperlink" Target="mailto:info@edenservices.be" TargetMode="External"/><Relationship Id="rId18" Type="http://schemas.openxmlformats.org/officeDocument/2006/relationships/hyperlink" Target="mailto:mail.box@krefel.be" TargetMode="External"/><Relationship Id="rId26" Type="http://schemas.openxmlformats.org/officeDocument/2006/relationships/hyperlink" Target="mailto:sanareno@sanahotels.com" TargetMode="External"/><Relationship Id="rId3" Type="http://schemas.openxmlformats.org/officeDocument/2006/relationships/hyperlink" Target="mailto:contact@altrego.be" TargetMode="External"/><Relationship Id="rId21" Type="http://schemas.openxmlformats.org/officeDocument/2006/relationships/hyperlink" Target="mailto:Litterath@gmail.com" TargetMode="External"/><Relationship Id="rId7" Type="http://schemas.openxmlformats.org/officeDocument/2006/relationships/hyperlink" Target="mailto:groups@brusselsairlines.com" TargetMode="External"/><Relationship Id="rId12" Type="http://schemas.openxmlformats.org/officeDocument/2006/relationships/hyperlink" Target="mailto:cpandco@skynet.be" TargetMode="External"/><Relationship Id="rId17" Type="http://schemas.openxmlformats.org/officeDocument/2006/relationships/hyperlink" Target="mailto:jt@commnication-support.be" TargetMode="External"/><Relationship Id="rId25" Type="http://schemas.openxmlformats.org/officeDocument/2006/relationships/hyperlink" Target="mailto:uitgeverij@peckelmansuitgevers.be" TargetMode="External"/><Relationship Id="rId2" Type="http://schemas.openxmlformats.org/officeDocument/2006/relationships/hyperlink" Target="mailto:azbureauservice@skynet.be" TargetMode="External"/><Relationship Id="rId16" Type="http://schemas.openxmlformats.org/officeDocument/2006/relationships/hyperlink" Target="mailto:compta-sic@uclouvain.be" TargetMode="External"/><Relationship Id="rId20" Type="http://schemas.openxmlformats.org/officeDocument/2006/relationships/hyperlink" Target="mailto:info@jumbotourisme.com" TargetMode="External"/><Relationship Id="rId29" Type="http://schemas.openxmlformats.org/officeDocument/2006/relationships/hyperlink" Target="mailto:secretariat@uhpc.be" TargetMode="External"/><Relationship Id="rId1" Type="http://schemas.openxmlformats.org/officeDocument/2006/relationships/hyperlink" Target="mailto:info@avadis.be" TargetMode="External"/><Relationship Id="rId6" Type="http://schemas.openxmlformats.org/officeDocument/2006/relationships/hyperlink" Target="mailto:ceh@scarlet.be" TargetMode="External"/><Relationship Id="rId11" Type="http://schemas.openxmlformats.org/officeDocument/2006/relationships/hyperlink" Target="mailto:abonnements@lesoir.be" TargetMode="External"/><Relationship Id="rId24" Type="http://schemas.openxmlformats.org/officeDocument/2006/relationships/hyperlink" Target="mailto:info@maritiemmuseum.nl" TargetMode="External"/><Relationship Id="rId5" Type="http://schemas.openxmlformats.org/officeDocument/2006/relationships/hyperlink" Target="mailto:Comptoir@lectronique" TargetMode="External"/><Relationship Id="rId15" Type="http://schemas.openxmlformats.org/officeDocument/2006/relationships/hyperlink" Target="mailto:info@euroflorist.be" TargetMode="External"/><Relationship Id="rId23" Type="http://schemas.openxmlformats.org/officeDocument/2006/relationships/hyperlink" Target="mailto:info@librairiequartierlatin.be" TargetMode="External"/><Relationship Id="rId28" Type="http://schemas.openxmlformats.org/officeDocument/2006/relationships/hyperlink" Target="mailto:info.ty@teralis.be" TargetMode="External"/><Relationship Id="rId10" Type="http://schemas.openxmlformats.org/officeDocument/2006/relationships/hyperlink" Target="mailto:info@censedelalouette.be" TargetMode="External"/><Relationship Id="rId19" Type="http://schemas.openxmlformats.org/officeDocument/2006/relationships/hyperlink" Target="mailto:contact@isograd.com" TargetMode="External"/><Relationship Id="rId31" Type="http://schemas.openxmlformats.org/officeDocument/2006/relationships/hyperlink" Target="mailto:g.beyens@wedocare.be" TargetMode="External"/><Relationship Id="rId4" Type="http://schemas.openxmlformats.org/officeDocument/2006/relationships/hyperlink" Target="mailto:customer.services@indicator-larcier.be" TargetMode="External"/><Relationship Id="rId9" Type="http://schemas.openxmlformats.org/officeDocument/2006/relationships/hyperlink" Target="mailto:cits@helha.be" TargetMode="External"/><Relationship Id="rId14" Type="http://schemas.openxmlformats.org/officeDocument/2006/relationships/hyperlink" Target="mailto:dcaycedo@eni.fr" TargetMode="External"/><Relationship Id="rId22" Type="http://schemas.openxmlformats.org/officeDocument/2006/relationships/hyperlink" Target="mailto:info@lje.be" TargetMode="External"/><Relationship Id="rId27" Type="http://schemas.openxmlformats.org/officeDocument/2006/relationships/hyperlink" Target="mailto:group@b-rail.be" TargetMode="External"/><Relationship Id="rId30" Type="http://schemas.openxmlformats.org/officeDocument/2006/relationships/hyperlink" Target="mailto:facturation@projet-voltaire.fr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AC2D-34F8-4532-9743-3DBEBFC43CF7}">
  <sheetPr codeName="Feuil1"/>
  <dimension ref="A1:G21"/>
  <sheetViews>
    <sheetView tabSelected="1" zoomScale="130" zoomScaleNormal="130" workbookViewId="0">
      <selection activeCell="K5" sqref="K5"/>
    </sheetView>
  </sheetViews>
  <sheetFormatPr baseColWidth="10" defaultRowHeight="15" x14ac:dyDescent="0.25"/>
  <sheetData>
    <row r="1" spans="1:7" x14ac:dyDescent="0.25">
      <c r="A1" s="86" t="s">
        <v>311</v>
      </c>
      <c r="B1" s="86"/>
      <c r="C1" s="86"/>
      <c r="D1" s="86"/>
      <c r="E1" s="86"/>
      <c r="F1" s="86"/>
      <c r="G1" s="86"/>
    </row>
    <row r="2" spans="1:7" x14ac:dyDescent="0.25">
      <c r="A2" s="86"/>
      <c r="B2" s="86"/>
      <c r="C2" s="86"/>
      <c r="D2" s="86"/>
      <c r="E2" s="86"/>
      <c r="F2" s="86"/>
      <c r="G2" s="86"/>
    </row>
    <row r="3" spans="1:7" x14ac:dyDescent="0.25">
      <c r="A3" s="86"/>
      <c r="B3" s="86"/>
      <c r="C3" s="86"/>
      <c r="D3" s="86"/>
      <c r="E3" s="86"/>
      <c r="F3" s="86"/>
      <c r="G3" s="86"/>
    </row>
    <row r="4" spans="1:7" x14ac:dyDescent="0.25">
      <c r="A4" s="86"/>
      <c r="B4" s="86"/>
      <c r="C4" s="86"/>
      <c r="D4" s="86"/>
      <c r="E4" s="86"/>
      <c r="F4" s="86"/>
      <c r="G4" s="86"/>
    </row>
    <row r="5" spans="1:7" x14ac:dyDescent="0.25">
      <c r="A5" s="13"/>
      <c r="B5" s="13"/>
      <c r="C5" s="13"/>
      <c r="D5" s="13"/>
      <c r="E5" s="13"/>
      <c r="F5" s="13"/>
      <c r="G5" s="13"/>
    </row>
    <row r="6" spans="1:7" x14ac:dyDescent="0.25">
      <c r="A6" s="13"/>
      <c r="B6" s="13"/>
      <c r="C6" s="13"/>
      <c r="D6" s="13"/>
      <c r="E6" s="13"/>
      <c r="F6" s="13"/>
      <c r="G6" s="13"/>
    </row>
    <row r="7" spans="1:7" x14ac:dyDescent="0.25">
      <c r="A7" s="13"/>
      <c r="B7" s="13"/>
      <c r="C7" s="13"/>
      <c r="D7" s="13"/>
      <c r="E7" s="13"/>
      <c r="F7" s="13"/>
      <c r="G7" s="13"/>
    </row>
    <row r="8" spans="1:7" x14ac:dyDescent="0.25">
      <c r="A8" s="13"/>
      <c r="B8" s="13"/>
      <c r="C8" s="13"/>
      <c r="D8" s="13"/>
      <c r="E8" s="13"/>
      <c r="F8" s="13"/>
      <c r="G8" s="13"/>
    </row>
    <row r="9" spans="1:7" x14ac:dyDescent="0.25">
      <c r="A9" s="13"/>
      <c r="B9" s="13"/>
      <c r="C9" s="13"/>
      <c r="D9" s="13"/>
      <c r="E9" s="13"/>
      <c r="F9" s="13"/>
      <c r="G9" s="13"/>
    </row>
    <row r="10" spans="1:7" x14ac:dyDescent="0.25">
      <c r="A10" s="13"/>
      <c r="B10" s="13"/>
      <c r="C10" s="13"/>
      <c r="D10" s="13"/>
      <c r="E10" s="13"/>
      <c r="F10" s="13"/>
      <c r="G10" s="13"/>
    </row>
    <row r="11" spans="1:7" x14ac:dyDescent="0.25">
      <c r="A11" s="13"/>
      <c r="B11" s="13"/>
      <c r="C11" s="13"/>
      <c r="D11" s="13"/>
      <c r="E11" s="13"/>
      <c r="F11" s="13"/>
      <c r="G11" s="13"/>
    </row>
    <row r="12" spans="1:7" x14ac:dyDescent="0.25">
      <c r="A12" s="13"/>
      <c r="B12" s="13"/>
      <c r="C12" s="13"/>
      <c r="D12" s="13"/>
      <c r="E12" s="13"/>
      <c r="F12" s="13"/>
      <c r="G12" s="13"/>
    </row>
    <row r="13" spans="1:7" x14ac:dyDescent="0.25">
      <c r="A13" s="13"/>
      <c r="B13" s="13"/>
      <c r="C13" s="13"/>
      <c r="D13" s="13"/>
      <c r="E13" s="13"/>
      <c r="F13" s="13"/>
      <c r="G13" s="13"/>
    </row>
    <row r="14" spans="1:7" x14ac:dyDescent="0.25">
      <c r="A14" s="13"/>
      <c r="B14" s="13"/>
      <c r="C14" s="13"/>
      <c r="D14" s="13"/>
      <c r="E14" s="13"/>
      <c r="F14" s="13"/>
      <c r="G14" s="13"/>
    </row>
    <row r="15" spans="1:7" x14ac:dyDescent="0.25">
      <c r="A15" s="13" t="s">
        <v>282</v>
      </c>
      <c r="B15" s="13"/>
      <c r="C15" s="13"/>
      <c r="D15" s="13"/>
      <c r="E15" s="13"/>
      <c r="F15" s="13"/>
      <c r="G15" s="13"/>
    </row>
    <row r="16" spans="1:7" x14ac:dyDescent="0.25">
      <c r="A16" s="13" t="s">
        <v>283</v>
      </c>
      <c r="B16" s="13"/>
      <c r="C16" s="13"/>
      <c r="D16" s="13"/>
      <c r="E16" s="13"/>
      <c r="F16" s="13"/>
      <c r="G16" s="13"/>
    </row>
    <row r="17" spans="1:7" x14ac:dyDescent="0.25">
      <c r="A17" s="13" t="s">
        <v>284</v>
      </c>
      <c r="B17" s="13"/>
      <c r="C17" s="13"/>
      <c r="D17" s="13"/>
      <c r="E17" s="13"/>
      <c r="F17" s="13"/>
      <c r="G17" s="13"/>
    </row>
    <row r="18" spans="1:7" x14ac:dyDescent="0.25">
      <c r="A18" s="13" t="s">
        <v>285</v>
      </c>
      <c r="B18" s="13"/>
      <c r="C18" s="13"/>
      <c r="D18" s="13"/>
      <c r="E18" s="13"/>
      <c r="F18" s="13"/>
      <c r="G18" s="13"/>
    </row>
    <row r="19" spans="1:7" x14ac:dyDescent="0.25">
      <c r="A19" s="13"/>
      <c r="B19" s="13"/>
      <c r="C19" s="13"/>
      <c r="D19" s="13"/>
      <c r="E19" s="13"/>
      <c r="F19" s="13"/>
      <c r="G19" s="13"/>
    </row>
    <row r="20" spans="1:7" x14ac:dyDescent="0.25">
      <c r="A20" s="13"/>
      <c r="B20" s="13"/>
      <c r="C20" s="13"/>
      <c r="D20" s="13"/>
      <c r="E20" s="13"/>
      <c r="F20" s="13"/>
      <c r="G20" s="13"/>
    </row>
    <row r="21" spans="1:7" x14ac:dyDescent="0.25">
      <c r="A21" s="13"/>
      <c r="B21" s="13"/>
      <c r="C21" s="13"/>
      <c r="D21" s="13"/>
      <c r="E21" s="13"/>
      <c r="F21" s="13"/>
      <c r="G21" s="13"/>
    </row>
  </sheetData>
  <sheetProtection selectLockedCells="1" selectUnlockedCells="1"/>
  <mergeCells count="1">
    <mergeCell ref="A1:G4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Demarrage">
          <controlPr defaultSize="0" autoLine="0" r:id="rId5">
            <anchor moveWithCells="1">
              <from>
                <xdr:col>0</xdr:col>
                <xdr:colOff>190500</xdr:colOff>
                <xdr:row>5</xdr:row>
                <xdr:rowOff>0</xdr:rowOff>
              </from>
              <to>
                <xdr:col>6</xdr:col>
                <xdr:colOff>609600</xdr:colOff>
                <xdr:row>10</xdr:row>
                <xdr:rowOff>161925</xdr:rowOff>
              </to>
            </anchor>
          </controlPr>
        </control>
      </mc:Choice>
      <mc:Fallback>
        <control shapeId="4097" r:id="rId4" name="Demarrag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B3"/>
  <sheetViews>
    <sheetView workbookViewId="0">
      <selection sqref="A1:B2"/>
    </sheetView>
  </sheetViews>
  <sheetFormatPr baseColWidth="10" defaultColWidth="9.140625" defaultRowHeight="15" x14ac:dyDescent="0.25"/>
  <cols>
    <col min="1" max="1" width="23.5703125" bestFit="1" customWidth="1"/>
    <col min="3" max="3" width="64" bestFit="1" customWidth="1"/>
    <col min="4" max="4" width="26.5703125" customWidth="1"/>
    <col min="5" max="5" width="39.7109375" customWidth="1"/>
    <col min="6" max="6" width="24.140625" customWidth="1"/>
    <col min="7" max="7" width="22" bestFit="1" customWidth="1"/>
    <col min="8" max="8" width="14.85546875" customWidth="1"/>
    <col min="9" max="9" width="29.85546875" customWidth="1"/>
  </cols>
  <sheetData>
    <row r="1" spans="1:2" x14ac:dyDescent="0.25">
      <c r="A1" s="14" t="s">
        <v>256</v>
      </c>
      <c r="B1" s="14" t="s">
        <v>257</v>
      </c>
    </row>
    <row r="2" spans="1:2" x14ac:dyDescent="0.25">
      <c r="A2" t="s">
        <v>303</v>
      </c>
      <c r="B2">
        <v>2022</v>
      </c>
    </row>
    <row r="3" spans="1:2" x14ac:dyDescent="0.25">
      <c r="A3" t="s">
        <v>288</v>
      </c>
      <c r="B3">
        <v>2020</v>
      </c>
    </row>
  </sheetData>
  <sortState xmlns:xlrd2="http://schemas.microsoft.com/office/spreadsheetml/2017/richdata2" ref="A1:B2">
    <sortCondition descending="1" ref="B1:B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480DD-9157-4791-BB07-E10BED828828}">
  <sheetPr codeName="Feuil11"/>
  <dimension ref="A1:N49"/>
  <sheetViews>
    <sheetView showWhiteSpace="0" topLeftCell="A16" zoomScale="90" zoomScaleNormal="90" zoomScaleSheetLayoutView="100" zoomScalePageLayoutView="70" workbookViewId="0">
      <selection sqref="A1:G3"/>
    </sheetView>
  </sheetViews>
  <sheetFormatPr baseColWidth="10" defaultRowHeight="15" x14ac:dyDescent="0.25"/>
  <cols>
    <col min="4" max="4" width="6" customWidth="1"/>
    <col min="5" max="5" width="18.5703125" customWidth="1"/>
    <col min="6" max="6" width="12.5703125" customWidth="1"/>
    <col min="8" max="8" width="64" bestFit="1" customWidth="1"/>
    <col min="10" max="10" width="64" bestFit="1" customWidth="1"/>
  </cols>
  <sheetData>
    <row r="1" spans="1:14" ht="15" customHeight="1" x14ac:dyDescent="0.25">
      <c r="A1" s="87" t="s">
        <v>307</v>
      </c>
      <c r="B1" s="93"/>
      <c r="C1" s="93"/>
      <c r="D1" s="93"/>
      <c r="E1" s="93"/>
      <c r="F1" s="93"/>
      <c r="G1" s="88"/>
      <c r="H1" s="87" t="s">
        <v>281</v>
      </c>
      <c r="I1" s="88"/>
      <c r="K1" s="16"/>
      <c r="L1" s="65"/>
      <c r="M1" s="65"/>
      <c r="N1" s="65"/>
    </row>
    <row r="2" spans="1:14" ht="15" customHeight="1" x14ac:dyDescent="0.25">
      <c r="A2" s="89"/>
      <c r="B2" s="94"/>
      <c r="C2" s="94"/>
      <c r="D2" s="94"/>
      <c r="E2" s="94"/>
      <c r="F2" s="94"/>
      <c r="G2" s="90"/>
      <c r="H2" s="89"/>
      <c r="I2" s="90"/>
      <c r="K2" s="16"/>
      <c r="L2" s="65"/>
      <c r="M2" s="65"/>
      <c r="N2" s="65"/>
    </row>
    <row r="3" spans="1:14" ht="15.75" customHeight="1" thickBot="1" x14ac:dyDescent="0.3">
      <c r="A3" s="91"/>
      <c r="B3" s="95"/>
      <c r="C3" s="95"/>
      <c r="D3" s="95"/>
      <c r="E3" s="95"/>
      <c r="F3" s="95"/>
      <c r="G3" s="92"/>
      <c r="H3" s="91"/>
      <c r="I3" s="92"/>
      <c r="K3" s="16"/>
      <c r="L3" s="65"/>
      <c r="M3" s="65"/>
      <c r="N3" s="65"/>
    </row>
    <row r="4" spans="1:14" x14ac:dyDescent="0.25">
      <c r="I4" s="16"/>
      <c r="K4" s="16"/>
    </row>
    <row r="5" spans="1:14" ht="15.75" thickBot="1" x14ac:dyDescent="0.3">
      <c r="H5" s="10"/>
      <c r="I5" s="16"/>
      <c r="K5" s="16"/>
    </row>
    <row r="6" spans="1:14" ht="19.5" customHeight="1" thickBot="1" x14ac:dyDescent="0.3">
      <c r="A6" s="99" t="s">
        <v>270</v>
      </c>
      <c r="B6" s="100"/>
      <c r="C6" s="100"/>
      <c r="D6" s="100"/>
      <c r="E6" s="29"/>
      <c r="F6" s="29"/>
      <c r="G6" s="30"/>
      <c r="I6" s="16"/>
      <c r="K6" s="16"/>
    </row>
    <row r="7" spans="1:14" ht="15.75" thickBot="1" x14ac:dyDescent="0.3">
      <c r="A7" s="102"/>
      <c r="B7" s="103"/>
      <c r="C7" s="103"/>
      <c r="D7" s="103"/>
      <c r="E7" s="64" t="s">
        <v>257</v>
      </c>
      <c r="F7" s="62">
        <v>2020</v>
      </c>
      <c r="G7" s="63">
        <v>2022</v>
      </c>
      <c r="I7" s="16"/>
      <c r="K7" s="16"/>
    </row>
    <row r="8" spans="1:14" x14ac:dyDescent="0.25">
      <c r="A8" s="45" t="s">
        <v>65</v>
      </c>
      <c r="B8" s="46"/>
      <c r="C8" s="46"/>
      <c r="D8" s="46"/>
      <c r="E8" s="46"/>
      <c r="F8" s="36">
        <v>1500</v>
      </c>
      <c r="G8" s="37">
        <v>1</v>
      </c>
      <c r="I8" s="16"/>
      <c r="J8" s="10"/>
      <c r="K8" s="16"/>
    </row>
    <row r="9" spans="1:14" x14ac:dyDescent="0.25">
      <c r="A9" s="47" t="s">
        <v>12</v>
      </c>
      <c r="B9" s="48"/>
      <c r="C9" s="48"/>
      <c r="D9" s="48"/>
      <c r="E9" s="48"/>
      <c r="F9" s="60">
        <v>2000</v>
      </c>
      <c r="G9" s="61">
        <v>2</v>
      </c>
      <c r="H9" s="10"/>
      <c r="I9" s="16"/>
      <c r="K9" s="16"/>
    </row>
    <row r="10" spans="1:14" x14ac:dyDescent="0.25">
      <c r="A10" s="34" t="s">
        <v>2</v>
      </c>
      <c r="B10" s="35"/>
      <c r="C10" s="35"/>
      <c r="D10" s="35"/>
      <c r="E10" s="35"/>
      <c r="F10" s="38">
        <v>7500</v>
      </c>
      <c r="G10" s="39">
        <v>3</v>
      </c>
      <c r="I10" s="16"/>
      <c r="K10" s="16"/>
    </row>
    <row r="11" spans="1:14" x14ac:dyDescent="0.25">
      <c r="A11" s="49" t="s">
        <v>45</v>
      </c>
      <c r="B11" s="50"/>
      <c r="C11" s="50"/>
      <c r="D11" s="50"/>
      <c r="E11" s="50"/>
      <c r="F11" s="60">
        <v>10000</v>
      </c>
      <c r="G11" s="61">
        <v>4</v>
      </c>
      <c r="I11" s="16"/>
      <c r="K11" s="16"/>
    </row>
    <row r="12" spans="1:14" x14ac:dyDescent="0.25">
      <c r="A12" s="51" t="s">
        <v>9</v>
      </c>
      <c r="B12" s="52"/>
      <c r="C12" s="52"/>
      <c r="D12" s="52"/>
      <c r="E12" s="52"/>
      <c r="F12" s="38">
        <v>5000</v>
      </c>
      <c r="G12" s="39">
        <v>5</v>
      </c>
      <c r="I12" s="16"/>
      <c r="K12" s="16"/>
    </row>
    <row r="13" spans="1:14" x14ac:dyDescent="0.25">
      <c r="A13" s="53" t="s">
        <v>7</v>
      </c>
      <c r="B13" s="54"/>
      <c r="C13" s="54"/>
      <c r="D13" s="54"/>
      <c r="E13" s="54"/>
      <c r="F13" s="60">
        <v>1500</v>
      </c>
      <c r="G13" s="61">
        <v>6</v>
      </c>
      <c r="I13" s="16"/>
      <c r="J13" s="10"/>
      <c r="K13" s="16"/>
    </row>
    <row r="14" spans="1:14" ht="15.75" thickBot="1" x14ac:dyDescent="0.3">
      <c r="A14" s="55" t="s">
        <v>26</v>
      </c>
      <c r="B14" s="56"/>
      <c r="C14" s="56"/>
      <c r="D14" s="56"/>
      <c r="E14" s="56"/>
      <c r="F14" s="40">
        <v>1000</v>
      </c>
      <c r="G14" s="41">
        <v>7</v>
      </c>
      <c r="I14" s="16"/>
      <c r="K14" s="16"/>
    </row>
    <row r="15" spans="1:14" ht="15.75" thickBot="1" x14ac:dyDescent="0.3">
      <c r="A15" s="59"/>
      <c r="B15" s="32"/>
      <c r="C15" s="32"/>
      <c r="D15" s="32"/>
      <c r="E15" s="64" t="s">
        <v>272</v>
      </c>
      <c r="F15" s="81">
        <v>28500</v>
      </c>
      <c r="G15" s="82">
        <v>28</v>
      </c>
      <c r="I15" s="16"/>
      <c r="K15" s="16"/>
    </row>
    <row r="16" spans="1:14" ht="15.75" thickBot="1" x14ac:dyDescent="0.3">
      <c r="I16" s="16"/>
      <c r="K16" s="16"/>
    </row>
    <row r="17" spans="1:11" ht="18.75" customHeight="1" x14ac:dyDescent="0.25">
      <c r="A17" s="99" t="s">
        <v>271</v>
      </c>
      <c r="B17" s="100"/>
      <c r="C17" s="100"/>
      <c r="D17" s="100"/>
      <c r="E17" s="100"/>
      <c r="F17" s="100"/>
      <c r="G17" s="101"/>
      <c r="I17" s="16"/>
      <c r="K17" s="16"/>
    </row>
    <row r="18" spans="1:11" ht="7.5" customHeight="1" thickBot="1" x14ac:dyDescent="0.3">
      <c r="A18" s="102"/>
      <c r="B18" s="103"/>
      <c r="C18" s="103"/>
      <c r="D18" s="103"/>
      <c r="E18" s="103"/>
      <c r="F18" s="103"/>
      <c r="G18" s="104"/>
      <c r="K18" s="16"/>
    </row>
    <row r="19" spans="1:11" ht="24.75" customHeight="1" thickBot="1" x14ac:dyDescent="0.3">
      <c r="A19" s="98">
        <f>F7</f>
        <v>2020</v>
      </c>
      <c r="B19" s="96"/>
      <c r="C19" s="96"/>
      <c r="D19" s="96"/>
      <c r="E19" s="96">
        <f>G7</f>
        <v>2022</v>
      </c>
      <c r="F19" s="96"/>
      <c r="G19" s="97"/>
      <c r="K19" s="16"/>
    </row>
    <row r="20" spans="1:11" x14ac:dyDescent="0.25">
      <c r="A20" s="58"/>
      <c r="G20" s="31"/>
      <c r="K20" s="16"/>
    </row>
    <row r="21" spans="1:11" x14ac:dyDescent="0.25">
      <c r="A21" s="58"/>
      <c r="G21" s="31"/>
      <c r="K21" s="16"/>
    </row>
    <row r="22" spans="1:11" x14ac:dyDescent="0.25">
      <c r="A22" s="58"/>
      <c r="G22" s="31"/>
      <c r="K22" s="16"/>
    </row>
    <row r="23" spans="1:11" x14ac:dyDescent="0.25">
      <c r="A23" s="58"/>
      <c r="G23" s="31"/>
      <c r="J23" s="10"/>
      <c r="K23" s="16"/>
    </row>
    <row r="24" spans="1:11" x14ac:dyDescent="0.25">
      <c r="A24" s="58"/>
      <c r="G24" s="31"/>
      <c r="K24" s="16"/>
    </row>
    <row r="25" spans="1:11" x14ac:dyDescent="0.25">
      <c r="A25" s="58"/>
      <c r="G25" s="31"/>
      <c r="K25" s="16"/>
    </row>
    <row r="26" spans="1:11" x14ac:dyDescent="0.25">
      <c r="A26" s="58"/>
      <c r="G26" s="31"/>
      <c r="K26" s="16"/>
    </row>
    <row r="27" spans="1:11" x14ac:dyDescent="0.25">
      <c r="A27" s="58"/>
      <c r="G27" s="31"/>
      <c r="K27" s="16"/>
    </row>
    <row r="28" spans="1:11" x14ac:dyDescent="0.25">
      <c r="A28" s="58"/>
      <c r="G28" s="31"/>
      <c r="K28" s="16"/>
    </row>
    <row r="29" spans="1:11" x14ac:dyDescent="0.25">
      <c r="A29" s="58"/>
      <c r="G29" s="31"/>
      <c r="K29" s="16"/>
    </row>
    <row r="30" spans="1:11" x14ac:dyDescent="0.25">
      <c r="A30" s="58"/>
      <c r="G30" s="31"/>
      <c r="K30" s="16"/>
    </row>
    <row r="31" spans="1:11" x14ac:dyDescent="0.25">
      <c r="A31" s="58"/>
      <c r="G31" s="31"/>
      <c r="J31" s="10"/>
      <c r="K31" s="16"/>
    </row>
    <row r="32" spans="1:11" x14ac:dyDescent="0.25">
      <c r="A32" s="58"/>
      <c r="G32" s="31"/>
      <c r="K32" s="16"/>
    </row>
    <row r="33" spans="1:7" ht="15.75" thickBot="1" x14ac:dyDescent="0.3">
      <c r="A33" s="58"/>
      <c r="G33" s="31"/>
    </row>
    <row r="34" spans="1:7" x14ac:dyDescent="0.25">
      <c r="A34" s="57"/>
      <c r="B34" s="29"/>
      <c r="C34" s="29"/>
      <c r="D34" s="29"/>
      <c r="E34" s="29"/>
      <c r="F34" s="29"/>
      <c r="G34" s="30"/>
    </row>
    <row r="35" spans="1:7" x14ac:dyDescent="0.25">
      <c r="A35" s="58"/>
      <c r="G35" s="31"/>
    </row>
    <row r="36" spans="1:7" x14ac:dyDescent="0.25">
      <c r="A36" s="58"/>
      <c r="G36" s="31"/>
    </row>
    <row r="37" spans="1:7" x14ac:dyDescent="0.25">
      <c r="A37" s="58"/>
      <c r="G37" s="31"/>
    </row>
    <row r="38" spans="1:7" x14ac:dyDescent="0.25">
      <c r="A38" s="58"/>
      <c r="G38" s="31"/>
    </row>
    <row r="39" spans="1:7" x14ac:dyDescent="0.25">
      <c r="A39" s="58"/>
      <c r="G39" s="31"/>
    </row>
    <row r="40" spans="1:7" x14ac:dyDescent="0.25">
      <c r="A40" s="58"/>
      <c r="G40" s="31"/>
    </row>
    <row r="41" spans="1:7" x14ac:dyDescent="0.25">
      <c r="A41" s="58"/>
      <c r="G41" s="31"/>
    </row>
    <row r="42" spans="1:7" x14ac:dyDescent="0.25">
      <c r="A42" s="58"/>
      <c r="G42" s="31"/>
    </row>
    <row r="43" spans="1:7" x14ac:dyDescent="0.25">
      <c r="A43" s="58"/>
      <c r="G43" s="31"/>
    </row>
    <row r="44" spans="1:7" x14ac:dyDescent="0.25">
      <c r="A44" s="58"/>
      <c r="G44" s="31"/>
    </row>
    <row r="45" spans="1:7" x14ac:dyDescent="0.25">
      <c r="A45" s="58"/>
      <c r="G45" s="31"/>
    </row>
    <row r="46" spans="1:7" x14ac:dyDescent="0.25">
      <c r="A46" s="58"/>
      <c r="G46" s="31"/>
    </row>
    <row r="47" spans="1:7" x14ac:dyDescent="0.25">
      <c r="A47" s="58"/>
      <c r="G47" s="31"/>
    </row>
    <row r="48" spans="1:7" x14ac:dyDescent="0.25">
      <c r="A48" s="58"/>
      <c r="G48" s="31"/>
    </row>
    <row r="49" spans="1:7" ht="15.75" thickBot="1" x14ac:dyDescent="0.3">
      <c r="A49" s="59"/>
      <c r="B49" s="32"/>
      <c r="C49" s="32"/>
      <c r="D49" s="32"/>
      <c r="E49" s="32"/>
      <c r="F49" s="32"/>
      <c r="G49" s="33"/>
    </row>
  </sheetData>
  <mergeCells count="6">
    <mergeCell ref="H1:I3"/>
    <mergeCell ref="A1:G3"/>
    <mergeCell ref="E19:G19"/>
    <mergeCell ref="A19:D19"/>
    <mergeCell ref="A17:G18"/>
    <mergeCell ref="A6:D7"/>
  </mergeCells>
  <pageMargins left="0.7" right="0.7" top="0.75" bottom="0.75" header="0.3" footer="0.3"/>
  <pageSetup paperSize="9" scale="95" orientation="portrait" r:id="rId1"/>
  <headerFooter>
    <oddHeader>&amp;LHelHa
&amp;R&amp;D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91D11-B230-4EFA-A30E-D3FEA88DC40A}">
  <sheetPr codeName="Feuil15"/>
  <dimension ref="A1:G11"/>
  <sheetViews>
    <sheetView zoomScaleNormal="100" workbookViewId="0">
      <selection activeCell="K30" sqref="K30"/>
    </sheetView>
  </sheetViews>
  <sheetFormatPr baseColWidth="10" defaultRowHeight="15" x14ac:dyDescent="0.25"/>
  <cols>
    <col min="6" max="6" width="8.28515625" customWidth="1"/>
  </cols>
  <sheetData>
    <row r="1" spans="1:7" ht="18.75" customHeight="1" x14ac:dyDescent="0.25">
      <c r="A1" s="87" t="s">
        <v>309</v>
      </c>
      <c r="B1" s="93"/>
      <c r="C1" s="93"/>
      <c r="D1" s="93"/>
      <c r="E1" s="93"/>
      <c r="F1" s="93"/>
      <c r="G1" s="88"/>
    </row>
    <row r="2" spans="1:7" ht="18.75" customHeight="1" x14ac:dyDescent="0.25">
      <c r="A2" s="89"/>
      <c r="B2" s="94"/>
      <c r="C2" s="94"/>
      <c r="D2" s="94"/>
      <c r="E2" s="94"/>
      <c r="F2" s="94"/>
      <c r="G2" s="90"/>
    </row>
    <row r="3" spans="1:7" ht="18.75" customHeight="1" thickBot="1" x14ac:dyDescent="0.3">
      <c r="A3" s="91"/>
      <c r="B3" s="95"/>
      <c r="C3" s="95"/>
      <c r="D3" s="95"/>
      <c r="E3" s="95"/>
      <c r="F3" s="95"/>
      <c r="G3" s="92"/>
    </row>
    <row r="4" spans="1:7" ht="15.75" thickBot="1" x14ac:dyDescent="0.3"/>
    <row r="5" spans="1:7" ht="25.5" customHeight="1" x14ac:dyDescent="0.25">
      <c r="A5" s="18" t="s">
        <v>65</v>
      </c>
      <c r="B5" s="19"/>
      <c r="C5" s="19"/>
      <c r="D5" s="19"/>
      <c r="E5" s="19"/>
      <c r="F5" s="20"/>
      <c r="G5" s="42">
        <v>100</v>
      </c>
    </row>
    <row r="6" spans="1:7" ht="25.5" customHeight="1" x14ac:dyDescent="0.25">
      <c r="A6" s="21" t="s">
        <v>12</v>
      </c>
      <c r="B6" s="22"/>
      <c r="C6" s="22"/>
      <c r="D6" s="22"/>
      <c r="E6" s="22"/>
      <c r="F6" s="23"/>
      <c r="G6" s="43">
        <v>100</v>
      </c>
    </row>
    <row r="7" spans="1:7" ht="25.5" customHeight="1" x14ac:dyDescent="0.25">
      <c r="A7" s="21" t="s">
        <v>2</v>
      </c>
      <c r="B7" s="22"/>
      <c r="C7" s="22"/>
      <c r="D7" s="22"/>
      <c r="E7" s="22"/>
      <c r="F7" s="23"/>
      <c r="G7" s="43">
        <v>100</v>
      </c>
    </row>
    <row r="8" spans="1:7" ht="25.5" customHeight="1" x14ac:dyDescent="0.25">
      <c r="A8" s="21" t="s">
        <v>45</v>
      </c>
      <c r="B8" s="22"/>
      <c r="C8" s="22"/>
      <c r="D8" s="22"/>
      <c r="E8" s="22"/>
      <c r="F8" s="23"/>
      <c r="G8" s="43">
        <v>100</v>
      </c>
    </row>
    <row r="9" spans="1:7" ht="25.5" customHeight="1" x14ac:dyDescent="0.25">
      <c r="A9" s="21" t="s">
        <v>9</v>
      </c>
      <c r="B9" s="22"/>
      <c r="C9" s="22"/>
      <c r="D9" s="22"/>
      <c r="E9" s="22"/>
      <c r="F9" s="23"/>
      <c r="G9" s="43">
        <v>200</v>
      </c>
    </row>
    <row r="10" spans="1:7" ht="25.5" customHeight="1" x14ac:dyDescent="0.25">
      <c r="A10" s="21" t="s">
        <v>7</v>
      </c>
      <c r="B10" s="22"/>
      <c r="C10" s="22"/>
      <c r="D10" s="22"/>
      <c r="E10" s="22"/>
      <c r="F10" s="23"/>
      <c r="G10" s="43">
        <v>300</v>
      </c>
    </row>
    <row r="11" spans="1:7" ht="25.5" customHeight="1" thickBot="1" x14ac:dyDescent="0.3">
      <c r="A11" s="24" t="s">
        <v>26</v>
      </c>
      <c r="B11" s="25"/>
      <c r="C11" s="25"/>
      <c r="D11" s="25"/>
      <c r="E11" s="25"/>
      <c r="F11" s="26"/>
      <c r="G11" s="44">
        <v>500</v>
      </c>
    </row>
  </sheetData>
  <mergeCells count="1">
    <mergeCell ref="A1:G3"/>
  </mergeCells>
  <pageMargins left="0.7" right="0.7" top="0.75" bottom="0.75" header="0.3" footer="0.3"/>
  <pageSetup paperSize="9" orientation="portrait" r:id="rId1"/>
  <headerFooter>
    <oddHeader>&amp;LHelHa
&amp;R&amp;D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6068-06BA-4C94-BA6E-DC6173215860}">
  <sheetPr codeName="Feuil13"/>
  <dimension ref="A1:J50"/>
  <sheetViews>
    <sheetView zoomScale="85" zoomScaleNormal="85" workbookViewId="0">
      <selection activeCell="E6" sqref="E6"/>
    </sheetView>
  </sheetViews>
  <sheetFormatPr baseColWidth="10" defaultRowHeight="15" x14ac:dyDescent="0.25"/>
  <cols>
    <col min="1" max="1" width="64" bestFit="1" customWidth="1"/>
    <col min="2" max="3" width="10.7109375" customWidth="1"/>
  </cols>
  <sheetData>
    <row r="1" spans="1:10" ht="16.5" thickBot="1" x14ac:dyDescent="0.3">
      <c r="A1" s="75" t="s">
        <v>308</v>
      </c>
      <c r="B1" s="76">
        <v>2020</v>
      </c>
      <c r="C1" s="77">
        <v>2022</v>
      </c>
      <c r="D1" s="78"/>
      <c r="E1" s="78"/>
      <c r="F1" s="78"/>
      <c r="G1" s="78"/>
      <c r="H1" s="78"/>
      <c r="I1" s="78"/>
      <c r="J1" s="78"/>
    </row>
    <row r="2" spans="1:10" x14ac:dyDescent="0.25">
      <c r="A2" s="68" t="s">
        <v>65</v>
      </c>
      <c r="B2" s="69">
        <v>0</v>
      </c>
      <c r="C2" s="79">
        <v>0</v>
      </c>
    </row>
    <row r="3" spans="1:10" x14ac:dyDescent="0.25">
      <c r="A3" s="66" t="s">
        <v>64</v>
      </c>
      <c r="B3" s="73">
        <v>0</v>
      </c>
      <c r="C3" s="38">
        <v>0</v>
      </c>
    </row>
    <row r="4" spans="1:10" x14ac:dyDescent="0.25">
      <c r="A4" s="66" t="s">
        <v>63</v>
      </c>
      <c r="B4" s="73">
        <v>0</v>
      </c>
      <c r="C4" s="38">
        <v>0</v>
      </c>
    </row>
    <row r="5" spans="1:10" x14ac:dyDescent="0.25">
      <c r="A5" s="66" t="s">
        <v>62</v>
      </c>
      <c r="B5" s="73">
        <v>0</v>
      </c>
      <c r="C5" s="38">
        <v>0</v>
      </c>
    </row>
    <row r="6" spans="1:10" x14ac:dyDescent="0.25">
      <c r="A6" s="70" t="s">
        <v>12</v>
      </c>
      <c r="B6" s="71">
        <v>10</v>
      </c>
      <c r="C6" s="72">
        <v>10</v>
      </c>
    </row>
    <row r="7" spans="1:10" x14ac:dyDescent="0.25">
      <c r="A7" s="66" t="s">
        <v>61</v>
      </c>
      <c r="B7" s="73">
        <v>0</v>
      </c>
      <c r="C7" s="38">
        <v>0</v>
      </c>
    </row>
    <row r="8" spans="1:10" x14ac:dyDescent="0.25">
      <c r="A8" s="66" t="s">
        <v>60</v>
      </c>
      <c r="B8" s="73">
        <v>0</v>
      </c>
      <c r="C8" s="38">
        <v>0</v>
      </c>
    </row>
    <row r="9" spans="1:10" x14ac:dyDescent="0.25">
      <c r="A9" s="66" t="s">
        <v>11</v>
      </c>
      <c r="B9" s="73">
        <v>10</v>
      </c>
      <c r="C9" s="38">
        <v>10</v>
      </c>
    </row>
    <row r="10" spans="1:10" x14ac:dyDescent="0.25">
      <c r="A10" s="70" t="s">
        <v>2</v>
      </c>
      <c r="B10" s="71">
        <v>100</v>
      </c>
      <c r="C10" s="72">
        <v>100</v>
      </c>
    </row>
    <row r="11" spans="1:10" x14ac:dyDescent="0.25">
      <c r="A11" s="66" t="s">
        <v>59</v>
      </c>
      <c r="B11" s="73">
        <v>0</v>
      </c>
      <c r="C11" s="38">
        <v>0</v>
      </c>
    </row>
    <row r="12" spans="1:10" x14ac:dyDescent="0.25">
      <c r="A12" s="66" t="s">
        <v>58</v>
      </c>
      <c r="B12" s="73">
        <v>100</v>
      </c>
      <c r="C12" s="38">
        <v>100</v>
      </c>
    </row>
    <row r="13" spans="1:10" x14ac:dyDescent="0.25">
      <c r="A13" s="66" t="s">
        <v>57</v>
      </c>
      <c r="B13" s="73">
        <v>0</v>
      </c>
      <c r="C13" s="38">
        <v>0</v>
      </c>
    </row>
    <row r="14" spans="1:10" x14ac:dyDescent="0.25">
      <c r="A14" s="66" t="s">
        <v>56</v>
      </c>
      <c r="B14" s="73">
        <v>0</v>
      </c>
      <c r="C14" s="38">
        <v>0</v>
      </c>
    </row>
    <row r="15" spans="1:10" x14ac:dyDescent="0.25">
      <c r="A15" s="66" t="s">
        <v>55</v>
      </c>
      <c r="B15" s="73">
        <v>0</v>
      </c>
      <c r="C15" s="38">
        <v>0</v>
      </c>
    </row>
    <row r="16" spans="1:10" x14ac:dyDescent="0.25">
      <c r="A16" s="66" t="s">
        <v>1</v>
      </c>
      <c r="B16" s="73">
        <v>0</v>
      </c>
      <c r="C16" s="38">
        <v>0</v>
      </c>
    </row>
    <row r="17" spans="1:3" x14ac:dyDescent="0.25">
      <c r="A17" s="66" t="s">
        <v>54</v>
      </c>
      <c r="B17" s="73">
        <v>0</v>
      </c>
      <c r="C17" s="38">
        <v>0</v>
      </c>
    </row>
    <row r="18" spans="1:3" x14ac:dyDescent="0.25">
      <c r="A18" s="66" t="s">
        <v>53</v>
      </c>
      <c r="B18" s="73">
        <v>0</v>
      </c>
      <c r="C18" s="38">
        <v>0</v>
      </c>
    </row>
    <row r="19" spans="1:3" x14ac:dyDescent="0.25">
      <c r="A19" s="66" t="s">
        <v>52</v>
      </c>
      <c r="B19" s="73">
        <v>0</v>
      </c>
      <c r="C19" s="38">
        <v>0</v>
      </c>
    </row>
    <row r="20" spans="1:3" x14ac:dyDescent="0.25">
      <c r="A20" s="66" t="s">
        <v>51</v>
      </c>
      <c r="B20" s="73">
        <v>0</v>
      </c>
      <c r="C20" s="38">
        <v>0</v>
      </c>
    </row>
    <row r="21" spans="1:3" x14ac:dyDescent="0.25">
      <c r="A21" s="66" t="s">
        <v>50</v>
      </c>
      <c r="B21" s="73">
        <v>0</v>
      </c>
      <c r="C21" s="38">
        <v>0</v>
      </c>
    </row>
    <row r="22" spans="1:3" x14ac:dyDescent="0.25">
      <c r="A22" s="66" t="s">
        <v>49</v>
      </c>
      <c r="B22" s="73">
        <v>0</v>
      </c>
      <c r="C22" s="38">
        <v>0</v>
      </c>
    </row>
    <row r="23" spans="1:3" x14ac:dyDescent="0.25">
      <c r="A23" s="66" t="s">
        <v>48</v>
      </c>
      <c r="B23" s="73">
        <v>0</v>
      </c>
      <c r="C23" s="38">
        <v>0</v>
      </c>
    </row>
    <row r="24" spans="1:3" x14ac:dyDescent="0.25">
      <c r="A24" s="66" t="s">
        <v>47</v>
      </c>
      <c r="B24" s="73">
        <v>0</v>
      </c>
      <c r="C24" s="38">
        <v>0</v>
      </c>
    </row>
    <row r="25" spans="1:3" x14ac:dyDescent="0.25">
      <c r="A25" s="66" t="s">
        <v>46</v>
      </c>
      <c r="B25" s="73">
        <v>0</v>
      </c>
      <c r="C25" s="38">
        <v>0</v>
      </c>
    </row>
    <row r="26" spans="1:3" x14ac:dyDescent="0.25">
      <c r="A26" s="70" t="s">
        <v>45</v>
      </c>
      <c r="B26" s="71">
        <v>0</v>
      </c>
      <c r="C26" s="72">
        <v>0</v>
      </c>
    </row>
    <row r="27" spans="1:3" x14ac:dyDescent="0.25">
      <c r="A27" s="66" t="s">
        <v>44</v>
      </c>
      <c r="B27" s="73">
        <v>0</v>
      </c>
      <c r="C27" s="38">
        <v>0</v>
      </c>
    </row>
    <row r="28" spans="1:3" x14ac:dyDescent="0.25">
      <c r="A28" s="66" t="s">
        <v>43</v>
      </c>
      <c r="B28" s="73">
        <v>0</v>
      </c>
      <c r="C28" s="38">
        <v>0</v>
      </c>
    </row>
    <row r="29" spans="1:3" x14ac:dyDescent="0.25">
      <c r="A29" s="66" t="s">
        <v>42</v>
      </c>
      <c r="B29" s="73">
        <v>0</v>
      </c>
      <c r="C29" s="38">
        <v>0</v>
      </c>
    </row>
    <row r="30" spans="1:3" x14ac:dyDescent="0.25">
      <c r="A30" s="66" t="s">
        <v>41</v>
      </c>
      <c r="B30" s="73">
        <v>0</v>
      </c>
      <c r="C30" s="38">
        <v>0</v>
      </c>
    </row>
    <row r="31" spans="1:3" x14ac:dyDescent="0.25">
      <c r="A31" s="70" t="s">
        <v>9</v>
      </c>
      <c r="B31" s="71">
        <v>50</v>
      </c>
      <c r="C31" s="72">
        <v>50</v>
      </c>
    </row>
    <row r="32" spans="1:3" x14ac:dyDescent="0.25">
      <c r="A32" s="66" t="s">
        <v>40</v>
      </c>
      <c r="B32" s="73">
        <v>50</v>
      </c>
      <c r="C32" s="38">
        <v>50</v>
      </c>
    </row>
    <row r="33" spans="1:3" x14ac:dyDescent="0.25">
      <c r="A33" s="66" t="s">
        <v>39</v>
      </c>
      <c r="B33" s="73">
        <v>0</v>
      </c>
      <c r="C33" s="38">
        <v>0</v>
      </c>
    </row>
    <row r="34" spans="1:3" x14ac:dyDescent="0.25">
      <c r="A34" s="66" t="s">
        <v>8</v>
      </c>
      <c r="B34" s="73">
        <v>0</v>
      </c>
      <c r="C34" s="38">
        <v>0</v>
      </c>
    </row>
    <row r="35" spans="1:3" x14ac:dyDescent="0.25">
      <c r="A35" s="66" t="s">
        <v>38</v>
      </c>
      <c r="B35" s="73">
        <v>0</v>
      </c>
      <c r="C35" s="38">
        <v>0</v>
      </c>
    </row>
    <row r="36" spans="1:3" x14ac:dyDescent="0.25">
      <c r="A36" s="66" t="s">
        <v>37</v>
      </c>
      <c r="B36" s="73">
        <v>0</v>
      </c>
      <c r="C36" s="38">
        <v>0</v>
      </c>
    </row>
    <row r="37" spans="1:3" x14ac:dyDescent="0.25">
      <c r="A37" s="66" t="s">
        <v>36</v>
      </c>
      <c r="B37" s="73">
        <v>0</v>
      </c>
      <c r="C37" s="38">
        <v>0</v>
      </c>
    </row>
    <row r="38" spans="1:3" x14ac:dyDescent="0.25">
      <c r="A38" s="66" t="s">
        <v>35</v>
      </c>
      <c r="B38" s="73">
        <v>0</v>
      </c>
      <c r="C38" s="38">
        <v>0</v>
      </c>
    </row>
    <row r="39" spans="1:3" x14ac:dyDescent="0.25">
      <c r="A39" s="66" t="s">
        <v>34</v>
      </c>
      <c r="B39" s="73">
        <v>0</v>
      </c>
      <c r="C39" s="38">
        <v>0</v>
      </c>
    </row>
    <row r="40" spans="1:3" x14ac:dyDescent="0.25">
      <c r="A40" s="66" t="s">
        <v>33</v>
      </c>
      <c r="B40" s="73">
        <v>0</v>
      </c>
      <c r="C40" s="38">
        <v>0</v>
      </c>
    </row>
    <row r="41" spans="1:3" x14ac:dyDescent="0.25">
      <c r="A41" s="70" t="s">
        <v>7</v>
      </c>
      <c r="B41" s="71">
        <v>0</v>
      </c>
      <c r="C41" s="72">
        <v>0</v>
      </c>
    </row>
    <row r="42" spans="1:3" x14ac:dyDescent="0.25">
      <c r="A42" s="66" t="s">
        <v>32</v>
      </c>
      <c r="B42" s="73">
        <v>0</v>
      </c>
      <c r="C42" s="38">
        <v>0</v>
      </c>
    </row>
    <row r="43" spans="1:3" x14ac:dyDescent="0.25">
      <c r="A43" s="66" t="s">
        <v>31</v>
      </c>
      <c r="B43" s="73">
        <v>0</v>
      </c>
      <c r="C43" s="38">
        <v>0</v>
      </c>
    </row>
    <row r="44" spans="1:3" x14ac:dyDescent="0.25">
      <c r="A44" s="66" t="s">
        <v>30</v>
      </c>
      <c r="B44" s="73">
        <v>0</v>
      </c>
      <c r="C44" s="38">
        <v>0</v>
      </c>
    </row>
    <row r="45" spans="1:3" x14ac:dyDescent="0.25">
      <c r="A45" s="66" t="s">
        <v>29</v>
      </c>
      <c r="B45" s="73">
        <v>0</v>
      </c>
      <c r="C45" s="38">
        <v>0</v>
      </c>
    </row>
    <row r="46" spans="1:3" x14ac:dyDescent="0.25">
      <c r="A46" s="66" t="s">
        <v>28</v>
      </c>
      <c r="B46" s="73">
        <v>0</v>
      </c>
      <c r="C46" s="38">
        <v>0</v>
      </c>
    </row>
    <row r="47" spans="1:3" x14ac:dyDescent="0.25">
      <c r="A47" s="66" t="s">
        <v>27</v>
      </c>
      <c r="B47" s="73">
        <v>0</v>
      </c>
      <c r="C47" s="38">
        <v>0</v>
      </c>
    </row>
    <row r="48" spans="1:3" x14ac:dyDescent="0.25">
      <c r="A48" s="66" t="s">
        <v>6</v>
      </c>
      <c r="B48" s="73">
        <v>0</v>
      </c>
      <c r="C48" s="38">
        <v>0</v>
      </c>
    </row>
    <row r="49" spans="1:3" x14ac:dyDescent="0.25">
      <c r="A49" s="70" t="s">
        <v>26</v>
      </c>
      <c r="B49" s="71">
        <v>0</v>
      </c>
      <c r="C49" s="80">
        <v>0</v>
      </c>
    </row>
    <row r="50" spans="1:3" ht="15.75" thickBot="1" x14ac:dyDescent="0.3">
      <c r="A50" s="67" t="s">
        <v>25</v>
      </c>
      <c r="B50" s="74">
        <v>0</v>
      </c>
      <c r="C50" s="40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BBB61-FEF8-4553-A9B2-DB071DC8B04F}">
  <sheetPr codeName="Feuil3"/>
  <dimension ref="A1:E8"/>
  <sheetViews>
    <sheetView workbookViewId="0">
      <selection sqref="A1:B2"/>
    </sheetView>
  </sheetViews>
  <sheetFormatPr baseColWidth="10" defaultRowHeight="15" x14ac:dyDescent="0.25"/>
  <cols>
    <col min="1" max="1" width="64" bestFit="1" customWidth="1"/>
    <col min="3" max="3" width="29.140625" bestFit="1" customWidth="1"/>
  </cols>
  <sheetData>
    <row r="1" spans="1:5" ht="15.75" thickBot="1" x14ac:dyDescent="0.3">
      <c r="A1" s="14"/>
      <c r="B1" s="14"/>
      <c r="C1" s="14" t="s">
        <v>310</v>
      </c>
      <c r="D1">
        <v>2020</v>
      </c>
      <c r="E1">
        <v>2022</v>
      </c>
    </row>
    <row r="2" spans="1:5" x14ac:dyDescent="0.25">
      <c r="A2" s="18" t="s">
        <v>65</v>
      </c>
      <c r="B2" s="17"/>
      <c r="C2" s="17"/>
      <c r="D2" s="17">
        <v>1500</v>
      </c>
      <c r="E2" s="17">
        <v>1000</v>
      </c>
    </row>
    <row r="3" spans="1:5" x14ac:dyDescent="0.25">
      <c r="A3" s="21" t="s">
        <v>12</v>
      </c>
      <c r="B3" s="17"/>
      <c r="C3" s="17"/>
      <c r="D3" s="17">
        <v>2000</v>
      </c>
      <c r="E3" s="17">
        <v>2000</v>
      </c>
    </row>
    <row r="4" spans="1:5" x14ac:dyDescent="0.25">
      <c r="A4" s="21" t="s">
        <v>2</v>
      </c>
      <c r="B4" s="17"/>
      <c r="C4" s="17"/>
      <c r="D4" s="17">
        <v>7500</v>
      </c>
      <c r="E4" s="17">
        <v>10000</v>
      </c>
    </row>
    <row r="5" spans="1:5" x14ac:dyDescent="0.25">
      <c r="A5" s="21" t="s">
        <v>45</v>
      </c>
      <c r="B5" s="17"/>
      <c r="C5" s="17"/>
      <c r="D5" s="17">
        <v>10000</v>
      </c>
      <c r="E5" s="17">
        <v>5000</v>
      </c>
    </row>
    <row r="6" spans="1:5" x14ac:dyDescent="0.25">
      <c r="A6" s="21" t="s">
        <v>9</v>
      </c>
      <c r="B6" s="17"/>
      <c r="C6" s="17"/>
      <c r="D6" s="17">
        <v>5000</v>
      </c>
      <c r="E6" s="17">
        <v>2500</v>
      </c>
    </row>
    <row r="7" spans="1:5" x14ac:dyDescent="0.25">
      <c r="A7" s="21" t="s">
        <v>7</v>
      </c>
      <c r="B7" s="17"/>
      <c r="C7" s="17"/>
      <c r="D7" s="17">
        <v>1500</v>
      </c>
      <c r="E7" s="17">
        <v>500</v>
      </c>
    </row>
    <row r="8" spans="1:5" ht="15.75" thickBot="1" x14ac:dyDescent="0.3">
      <c r="A8" s="24" t="s">
        <v>26</v>
      </c>
      <c r="B8" s="17"/>
      <c r="C8" s="17"/>
      <c r="D8" s="17">
        <v>1000</v>
      </c>
      <c r="E8" s="17">
        <v>1200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9032C-6AE3-40C9-BF8E-27E6DAC8F369}">
  <sheetPr codeName="Feuil8"/>
  <dimension ref="A1:G11"/>
  <sheetViews>
    <sheetView zoomScaleNormal="100" workbookViewId="0">
      <selection activeCell="K30" sqref="K30"/>
    </sheetView>
  </sheetViews>
  <sheetFormatPr baseColWidth="10" defaultRowHeight="15" x14ac:dyDescent="0.25"/>
  <cols>
    <col min="6" max="6" width="8.28515625" customWidth="1"/>
  </cols>
  <sheetData>
    <row r="1" spans="1:7" ht="18.75" customHeight="1" x14ac:dyDescent="0.25">
      <c r="A1" s="87" t="s">
        <v>261</v>
      </c>
      <c r="B1" s="93"/>
      <c r="C1" s="93"/>
      <c r="D1" s="93"/>
      <c r="E1" s="93"/>
      <c r="F1" s="93"/>
      <c r="G1" s="88"/>
    </row>
    <row r="2" spans="1:7" ht="18.75" customHeight="1" x14ac:dyDescent="0.25">
      <c r="A2" s="89"/>
      <c r="B2" s="94"/>
      <c r="C2" s="94"/>
      <c r="D2" s="94"/>
      <c r="E2" s="94"/>
      <c r="F2" s="94"/>
      <c r="G2" s="90"/>
    </row>
    <row r="3" spans="1:7" ht="18.75" customHeight="1" thickBot="1" x14ac:dyDescent="0.3">
      <c r="A3" s="91"/>
      <c r="B3" s="95"/>
      <c r="C3" s="95"/>
      <c r="D3" s="95"/>
      <c r="E3" s="95"/>
      <c r="F3" s="95"/>
      <c r="G3" s="92"/>
    </row>
    <row r="4" spans="1:7" ht="15.75" thickBot="1" x14ac:dyDescent="0.3"/>
    <row r="5" spans="1:7" ht="25.5" customHeight="1" x14ac:dyDescent="0.25">
      <c r="A5" s="18" t="s">
        <v>65</v>
      </c>
      <c r="B5" s="19"/>
      <c r="C5" s="19"/>
      <c r="D5" s="19"/>
      <c r="E5" s="19"/>
      <c r="F5" s="20"/>
      <c r="G5" s="42">
        <v>0</v>
      </c>
    </row>
    <row r="6" spans="1:7" ht="25.5" customHeight="1" x14ac:dyDescent="0.25">
      <c r="A6" s="21" t="s">
        <v>12</v>
      </c>
      <c r="B6" s="22"/>
      <c r="C6" s="22"/>
      <c r="D6" s="22"/>
      <c r="E6" s="22"/>
      <c r="F6" s="23"/>
      <c r="G6" s="43">
        <v>0</v>
      </c>
    </row>
    <row r="7" spans="1:7" ht="25.5" customHeight="1" x14ac:dyDescent="0.25">
      <c r="A7" s="21" t="s">
        <v>2</v>
      </c>
      <c r="B7" s="22"/>
      <c r="C7" s="22"/>
      <c r="D7" s="22"/>
      <c r="E7" s="22"/>
      <c r="F7" s="23"/>
      <c r="G7" s="43">
        <v>0</v>
      </c>
    </row>
    <row r="8" spans="1:7" ht="25.5" customHeight="1" x14ac:dyDescent="0.25">
      <c r="A8" s="21" t="s">
        <v>45</v>
      </c>
      <c r="B8" s="22"/>
      <c r="C8" s="22"/>
      <c r="D8" s="22"/>
      <c r="E8" s="22"/>
      <c r="F8" s="23"/>
      <c r="G8" s="43">
        <v>0</v>
      </c>
    </row>
    <row r="9" spans="1:7" ht="25.5" customHeight="1" x14ac:dyDescent="0.25">
      <c r="A9" s="21" t="s">
        <v>9</v>
      </c>
      <c r="B9" s="22"/>
      <c r="C9" s="22"/>
      <c r="D9" s="22"/>
      <c r="E9" s="22"/>
      <c r="F9" s="23"/>
      <c r="G9" s="43">
        <v>0</v>
      </c>
    </row>
    <row r="10" spans="1:7" ht="25.5" customHeight="1" x14ac:dyDescent="0.25">
      <c r="A10" s="21" t="s">
        <v>7</v>
      </c>
      <c r="B10" s="22"/>
      <c r="C10" s="22"/>
      <c r="D10" s="22"/>
      <c r="E10" s="22"/>
      <c r="F10" s="23"/>
      <c r="G10" s="43">
        <v>0</v>
      </c>
    </row>
    <row r="11" spans="1:7" ht="25.5" customHeight="1" thickBot="1" x14ac:dyDescent="0.3">
      <c r="A11" s="24" t="s">
        <v>26</v>
      </c>
      <c r="B11" s="25"/>
      <c r="C11" s="25"/>
      <c r="D11" s="25"/>
      <c r="E11" s="25"/>
      <c r="F11" s="26"/>
      <c r="G11" s="44">
        <v>0</v>
      </c>
    </row>
  </sheetData>
  <mergeCells count="1">
    <mergeCell ref="A1:G3"/>
  </mergeCells>
  <pageMargins left="0.7" right="0.7" top="0.75" bottom="0.75" header="0.3" footer="0.3"/>
  <pageSetup paperSize="9" orientation="portrait" horizontalDpi="0" verticalDpi="0" r:id="rId1"/>
  <headerFooter>
    <oddHeader>&amp;LHelHa
&amp;R&amp;D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0C62-8F11-40F0-8D4D-08771C381967}">
  <sheetPr codeName="Feuil6">
    <tabColor theme="9" tint="0.59999389629810485"/>
  </sheetPr>
  <dimension ref="A1:A23"/>
  <sheetViews>
    <sheetView workbookViewId="0">
      <selection sqref="A1:B2"/>
    </sheetView>
  </sheetViews>
  <sheetFormatPr baseColWidth="10" defaultRowHeight="15" x14ac:dyDescent="0.25"/>
  <cols>
    <col min="1" max="1" width="35.28515625" customWidth="1"/>
  </cols>
  <sheetData>
    <row r="1" spans="1:1" x14ac:dyDescent="0.25">
      <c r="A1" s="6" t="s">
        <v>84</v>
      </c>
    </row>
    <row r="2" spans="1:1" x14ac:dyDescent="0.25">
      <c r="A2" t="s">
        <v>83</v>
      </c>
    </row>
    <row r="3" spans="1:1" x14ac:dyDescent="0.25">
      <c r="A3" t="s">
        <v>4</v>
      </c>
    </row>
    <row r="4" spans="1:1" x14ac:dyDescent="0.25">
      <c r="A4" t="s">
        <v>82</v>
      </c>
    </row>
    <row r="5" spans="1:1" x14ac:dyDescent="0.25">
      <c r="A5" t="s">
        <v>299</v>
      </c>
    </row>
    <row r="6" spans="1:1" x14ac:dyDescent="0.25">
      <c r="A6" t="s">
        <v>81</v>
      </c>
    </row>
    <row r="7" spans="1:1" x14ac:dyDescent="0.25">
      <c r="A7" t="s">
        <v>80</v>
      </c>
    </row>
    <row r="8" spans="1:1" x14ac:dyDescent="0.25">
      <c r="A8" t="s">
        <v>79</v>
      </c>
    </row>
    <row r="9" spans="1:1" x14ac:dyDescent="0.25">
      <c r="A9" t="s">
        <v>78</v>
      </c>
    </row>
    <row r="10" spans="1:1" x14ac:dyDescent="0.25">
      <c r="A10" t="s">
        <v>77</v>
      </c>
    </row>
    <row r="11" spans="1:1" x14ac:dyDescent="0.25">
      <c r="A11" t="s">
        <v>76</v>
      </c>
    </row>
    <row r="12" spans="1:1" x14ac:dyDescent="0.25">
      <c r="A12" t="s">
        <v>75</v>
      </c>
    </row>
    <row r="13" spans="1:1" x14ac:dyDescent="0.25">
      <c r="A13" t="s">
        <v>74</v>
      </c>
    </row>
    <row r="14" spans="1:1" x14ac:dyDescent="0.25">
      <c r="A14" t="s">
        <v>0</v>
      </c>
    </row>
    <row r="15" spans="1:1" x14ac:dyDescent="0.25">
      <c r="A15" t="s">
        <v>73</v>
      </c>
    </row>
    <row r="16" spans="1:1" x14ac:dyDescent="0.25">
      <c r="A16" t="s">
        <v>72</v>
      </c>
    </row>
    <row r="17" spans="1:1" x14ac:dyDescent="0.25">
      <c r="A17" t="s">
        <v>71</v>
      </c>
    </row>
    <row r="18" spans="1:1" x14ac:dyDescent="0.25">
      <c r="A18" t="s">
        <v>70</v>
      </c>
    </row>
    <row r="19" spans="1:1" x14ac:dyDescent="0.25">
      <c r="A19" t="s">
        <v>69</v>
      </c>
    </row>
    <row r="20" spans="1:1" x14ac:dyDescent="0.25">
      <c r="A20" t="s">
        <v>68</v>
      </c>
    </row>
    <row r="21" spans="1:1" x14ac:dyDescent="0.25">
      <c r="A21" t="s">
        <v>67</v>
      </c>
    </row>
    <row r="22" spans="1:1" x14ac:dyDescent="0.25">
      <c r="A22" t="s">
        <v>66</v>
      </c>
    </row>
    <row r="23" spans="1:1" x14ac:dyDescent="0.25">
      <c r="A23" t="s">
        <v>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D9F88-A8D5-403C-B6A4-DC073A8555D9}">
  <sheetPr codeName="Feuil4">
    <tabColor rgb="FFFF0000"/>
  </sheetPr>
  <dimension ref="A1:T17"/>
  <sheetViews>
    <sheetView zoomScale="73" zoomScaleNormal="73" workbookViewId="0">
      <selection activeCell="A3" sqref="A3:J17"/>
    </sheetView>
  </sheetViews>
  <sheetFormatPr baseColWidth="10" defaultRowHeight="15" x14ac:dyDescent="0.25"/>
  <cols>
    <col min="1" max="1" width="11.42578125" style="1"/>
    <col min="2" max="2" width="11.85546875" style="1" bestFit="1" customWidth="1"/>
    <col min="3" max="3" width="8.42578125" style="1" bestFit="1" customWidth="1"/>
    <col min="4" max="4" width="33.28515625" bestFit="1" customWidth="1"/>
    <col min="5" max="5" width="42.7109375" customWidth="1"/>
    <col min="6" max="6" width="36.85546875" bestFit="1" customWidth="1"/>
    <col min="7" max="7" width="47.28515625" bestFit="1" customWidth="1"/>
    <col min="8" max="8" width="27.28515625" bestFit="1" customWidth="1"/>
    <col min="9" max="9" width="15.85546875" bestFit="1" customWidth="1"/>
    <col min="10" max="10" width="13.7109375" bestFit="1" customWidth="1"/>
  </cols>
  <sheetData>
    <row r="1" spans="1:20" x14ac:dyDescent="0.25">
      <c r="A1" s="9" t="s">
        <v>24</v>
      </c>
      <c r="B1" s="8" t="s">
        <v>23</v>
      </c>
      <c r="C1" s="7" t="s">
        <v>22</v>
      </c>
      <c r="D1" s="6" t="s">
        <v>21</v>
      </c>
      <c r="E1" s="6" t="s">
        <v>20</v>
      </c>
      <c r="F1" s="6" t="s">
        <v>19</v>
      </c>
      <c r="G1" s="6" t="s">
        <v>18</v>
      </c>
      <c r="H1" s="6" t="s">
        <v>17</v>
      </c>
      <c r="I1" s="6" t="s">
        <v>16</v>
      </c>
      <c r="J1" s="6" t="s">
        <v>15</v>
      </c>
      <c r="K1" s="6" t="s">
        <v>273</v>
      </c>
      <c r="L1" s="6" t="s">
        <v>274</v>
      </c>
      <c r="M1" s="6" t="s">
        <v>275</v>
      </c>
      <c r="N1" s="6" t="s">
        <v>276</v>
      </c>
      <c r="O1" s="6" t="s">
        <v>277</v>
      </c>
      <c r="P1" s="6" t="s">
        <v>278</v>
      </c>
      <c r="Q1" s="6" t="s">
        <v>279</v>
      </c>
      <c r="R1" s="6" t="s">
        <v>280</v>
      </c>
      <c r="S1" s="15"/>
      <c r="T1" s="15"/>
    </row>
    <row r="2" spans="1:20" x14ac:dyDescent="0.25">
      <c r="A2" s="5" t="s">
        <v>14</v>
      </c>
      <c r="B2" s="4"/>
      <c r="C2" s="3"/>
      <c r="D2" s="2"/>
      <c r="E2" s="2"/>
      <c r="F2" s="2"/>
      <c r="G2" s="2"/>
      <c r="H2" s="2"/>
      <c r="I2" s="2"/>
      <c r="J2" s="2"/>
      <c r="K2" t="s">
        <v>289</v>
      </c>
      <c r="L2" t="s">
        <v>289</v>
      </c>
      <c r="M2" t="s">
        <v>289</v>
      </c>
      <c r="N2" t="s">
        <v>289</v>
      </c>
      <c r="O2" t="s">
        <v>289</v>
      </c>
      <c r="P2" t="s">
        <v>289</v>
      </c>
      <c r="Q2" t="s">
        <v>289</v>
      </c>
      <c r="R2" t="s">
        <v>289</v>
      </c>
    </row>
    <row r="3" spans="1:20" x14ac:dyDescent="0.25">
      <c r="A3" t="s">
        <v>289</v>
      </c>
      <c r="B3" s="85">
        <v>43831</v>
      </c>
      <c r="C3">
        <v>10</v>
      </c>
      <c r="D3" t="s">
        <v>13</v>
      </c>
      <c r="E3" t="s">
        <v>12</v>
      </c>
      <c r="F3" t="s">
        <v>11</v>
      </c>
      <c r="G3" t="s">
        <v>290</v>
      </c>
      <c r="H3" t="s">
        <v>266</v>
      </c>
      <c r="J3" t="s">
        <v>291</v>
      </c>
      <c r="K3" t="s">
        <v>293</v>
      </c>
      <c r="L3" t="s">
        <v>293</v>
      </c>
      <c r="M3" t="s">
        <v>293</v>
      </c>
      <c r="N3" t="s">
        <v>293</v>
      </c>
      <c r="O3" t="s">
        <v>293</v>
      </c>
      <c r="P3" t="s">
        <v>293</v>
      </c>
      <c r="Q3" t="s">
        <v>293</v>
      </c>
      <c r="R3" t="s">
        <v>293</v>
      </c>
    </row>
    <row r="4" spans="1:20" x14ac:dyDescent="0.25">
      <c r="A4" t="s">
        <v>293</v>
      </c>
      <c r="B4" s="85">
        <v>43863</v>
      </c>
      <c r="C4">
        <v>50</v>
      </c>
      <c r="D4" t="s">
        <v>292</v>
      </c>
      <c r="E4" t="s">
        <v>9</v>
      </c>
      <c r="F4" t="s">
        <v>40</v>
      </c>
      <c r="G4" t="s">
        <v>294</v>
      </c>
      <c r="H4" t="s">
        <v>267</v>
      </c>
      <c r="J4" t="s">
        <v>295</v>
      </c>
      <c r="K4" t="s">
        <v>296</v>
      </c>
      <c r="L4" t="s">
        <v>296</v>
      </c>
      <c r="M4" t="s">
        <v>296</v>
      </c>
      <c r="N4" t="s">
        <v>296</v>
      </c>
      <c r="O4" t="s">
        <v>296</v>
      </c>
      <c r="P4" t="s">
        <v>296</v>
      </c>
      <c r="Q4" t="s">
        <v>296</v>
      </c>
      <c r="R4" t="s">
        <v>296</v>
      </c>
    </row>
    <row r="5" spans="1:20" x14ac:dyDescent="0.25">
      <c r="A5" t="s">
        <v>296</v>
      </c>
      <c r="B5" s="85">
        <v>43893</v>
      </c>
      <c r="C5">
        <v>100</v>
      </c>
      <c r="D5" t="s">
        <v>179</v>
      </c>
      <c r="E5" t="s">
        <v>2</v>
      </c>
      <c r="F5" t="s">
        <v>58</v>
      </c>
      <c r="G5" t="s">
        <v>297</v>
      </c>
      <c r="H5" t="s">
        <v>265</v>
      </c>
      <c r="I5" t="s">
        <v>0</v>
      </c>
      <c r="J5" t="s">
        <v>298</v>
      </c>
    </row>
    <row r="6" spans="1:20" x14ac:dyDescent="0.25">
      <c r="A6"/>
      <c r="B6"/>
      <c r="C6"/>
    </row>
    <row r="7" spans="1:20" x14ac:dyDescent="0.25">
      <c r="A7"/>
      <c r="B7"/>
      <c r="C7"/>
    </row>
    <row r="8" spans="1:20" x14ac:dyDescent="0.25">
      <c r="A8"/>
      <c r="B8"/>
      <c r="C8"/>
    </row>
    <row r="9" spans="1:20" x14ac:dyDescent="0.25">
      <c r="A9"/>
      <c r="B9"/>
      <c r="C9"/>
    </row>
    <row r="10" spans="1:20" x14ac:dyDescent="0.25">
      <c r="A10"/>
      <c r="B10"/>
      <c r="C10"/>
    </row>
    <row r="11" spans="1:20" x14ac:dyDescent="0.25">
      <c r="A11"/>
      <c r="B11"/>
      <c r="C11"/>
    </row>
    <row r="12" spans="1:20" x14ac:dyDescent="0.25">
      <c r="A12"/>
      <c r="B12"/>
      <c r="C12"/>
    </row>
    <row r="13" spans="1:20" x14ac:dyDescent="0.25">
      <c r="A13"/>
      <c r="B13"/>
      <c r="C13"/>
    </row>
    <row r="14" spans="1:20" x14ac:dyDescent="0.25">
      <c r="A14"/>
      <c r="B14"/>
      <c r="C14"/>
    </row>
    <row r="15" spans="1:20" x14ac:dyDescent="0.25">
      <c r="A15"/>
      <c r="B15"/>
      <c r="C15"/>
    </row>
    <row r="16" spans="1:20" x14ac:dyDescent="0.25">
      <c r="A16"/>
      <c r="B16"/>
      <c r="C16"/>
    </row>
    <row r="17" spans="1:3" x14ac:dyDescent="0.25">
      <c r="A17"/>
      <c r="B17"/>
      <c r="C17"/>
    </row>
  </sheetData>
  <sortState xmlns:xlrd2="http://schemas.microsoft.com/office/spreadsheetml/2017/richdata2" ref="A3:J17">
    <sortCondition ref="B3:B7"/>
  </sortState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982D8-AE43-46F3-8A74-0A903EC58EA2}">
  <sheetPr codeName="Feuil7">
    <tabColor theme="4" tint="0.79998168889431442"/>
  </sheetPr>
  <dimension ref="A1:D57"/>
  <sheetViews>
    <sheetView zoomScale="85" zoomScaleNormal="85" workbookViewId="0">
      <selection sqref="A1:D3"/>
    </sheetView>
  </sheetViews>
  <sheetFormatPr baseColWidth="10" defaultRowHeight="15" x14ac:dyDescent="0.25"/>
  <cols>
    <col min="1" max="1" width="19.7109375" bestFit="1" customWidth="1"/>
    <col min="2" max="2" width="16.28515625" customWidth="1"/>
    <col min="3" max="3" width="23.85546875" bestFit="1" customWidth="1"/>
    <col min="4" max="4" width="102.42578125" bestFit="1" customWidth="1"/>
  </cols>
  <sheetData>
    <row r="1" spans="1:4" x14ac:dyDescent="0.25">
      <c r="A1" t="s">
        <v>255</v>
      </c>
      <c r="B1" t="s">
        <v>254</v>
      </c>
      <c r="C1" s="11" t="s">
        <v>253</v>
      </c>
      <c r="D1" t="s">
        <v>252</v>
      </c>
    </row>
    <row r="2" spans="1:4" x14ac:dyDescent="0.25">
      <c r="A2" t="s">
        <v>251</v>
      </c>
      <c r="D2" t="s">
        <v>250</v>
      </c>
    </row>
    <row r="3" spans="1:4" x14ac:dyDescent="0.25">
      <c r="A3" t="s">
        <v>304</v>
      </c>
      <c r="C3" t="s">
        <v>305</v>
      </c>
      <c r="D3" t="s">
        <v>306</v>
      </c>
    </row>
    <row r="4" spans="1:4" x14ac:dyDescent="0.25">
      <c r="A4" t="s">
        <v>249</v>
      </c>
      <c r="B4" t="s">
        <v>248</v>
      </c>
      <c r="C4" s="11" t="s">
        <v>247</v>
      </c>
      <c r="D4" t="s">
        <v>246</v>
      </c>
    </row>
    <row r="5" spans="1:4" x14ac:dyDescent="0.25">
      <c r="A5" t="s">
        <v>245</v>
      </c>
      <c r="B5" t="s">
        <v>244</v>
      </c>
      <c r="C5" s="11" t="s">
        <v>243</v>
      </c>
      <c r="D5" t="s">
        <v>242</v>
      </c>
    </row>
    <row r="6" spans="1:4" x14ac:dyDescent="0.25">
      <c r="A6" t="s">
        <v>13</v>
      </c>
      <c r="D6" t="s">
        <v>241</v>
      </c>
    </row>
    <row r="7" spans="1:4" x14ac:dyDescent="0.25">
      <c r="A7" t="s">
        <v>240</v>
      </c>
      <c r="D7" t="s">
        <v>239</v>
      </c>
    </row>
    <row r="8" spans="1:4" x14ac:dyDescent="0.25">
      <c r="A8" t="s">
        <v>238</v>
      </c>
      <c r="C8" s="11" t="s">
        <v>237</v>
      </c>
      <c r="D8" t="s">
        <v>236</v>
      </c>
    </row>
    <row r="9" spans="1:4" x14ac:dyDescent="0.25">
      <c r="A9" t="s">
        <v>235</v>
      </c>
      <c r="B9" t="s">
        <v>234</v>
      </c>
      <c r="C9" s="11" t="s">
        <v>233</v>
      </c>
      <c r="D9" t="s">
        <v>232</v>
      </c>
    </row>
    <row r="10" spans="1:4" x14ac:dyDescent="0.25">
      <c r="A10" t="s">
        <v>10</v>
      </c>
      <c r="B10" t="s">
        <v>231</v>
      </c>
      <c r="C10" s="11" t="s">
        <v>230</v>
      </c>
      <c r="D10" t="s">
        <v>229</v>
      </c>
    </row>
    <row r="11" spans="1:4" x14ac:dyDescent="0.25">
      <c r="A11" t="s">
        <v>228</v>
      </c>
      <c r="B11" t="s">
        <v>227</v>
      </c>
      <c r="C11" s="11" t="s">
        <v>226</v>
      </c>
      <c r="D11" t="s">
        <v>118</v>
      </c>
    </row>
    <row r="12" spans="1:4" x14ac:dyDescent="0.25">
      <c r="A12" t="s">
        <v>225</v>
      </c>
      <c r="D12" t="s">
        <v>224</v>
      </c>
    </row>
    <row r="13" spans="1:4" x14ac:dyDescent="0.25">
      <c r="A13" t="s">
        <v>223</v>
      </c>
      <c r="B13" t="s">
        <v>222</v>
      </c>
      <c r="D13" t="s">
        <v>221</v>
      </c>
    </row>
    <row r="14" spans="1:4" x14ac:dyDescent="0.25">
      <c r="A14" t="s">
        <v>220</v>
      </c>
      <c r="C14" s="11" t="s">
        <v>219</v>
      </c>
      <c r="D14" t="s">
        <v>218</v>
      </c>
    </row>
    <row r="15" spans="1:4" x14ac:dyDescent="0.25">
      <c r="A15" s="12" t="s">
        <v>217</v>
      </c>
      <c r="B15" t="s">
        <v>216</v>
      </c>
      <c r="C15" s="11" t="s">
        <v>215</v>
      </c>
      <c r="D15" t="s">
        <v>214</v>
      </c>
    </row>
    <row r="16" spans="1:4" x14ac:dyDescent="0.25">
      <c r="A16" t="s">
        <v>213</v>
      </c>
      <c r="B16" t="s">
        <v>212</v>
      </c>
      <c r="D16" t="s">
        <v>211</v>
      </c>
    </row>
    <row r="17" spans="1:4" x14ac:dyDescent="0.25">
      <c r="A17" t="s">
        <v>210</v>
      </c>
      <c r="B17" t="s">
        <v>209</v>
      </c>
      <c r="C17" s="11" t="s">
        <v>208</v>
      </c>
      <c r="D17" t="s">
        <v>207</v>
      </c>
    </row>
    <row r="18" spans="1:4" x14ac:dyDescent="0.25">
      <c r="A18" t="s">
        <v>206</v>
      </c>
      <c r="D18" t="s">
        <v>205</v>
      </c>
    </row>
    <row r="19" spans="1:4" x14ac:dyDescent="0.25">
      <c r="A19" t="s">
        <v>204</v>
      </c>
      <c r="B19" t="s">
        <v>203</v>
      </c>
      <c r="C19" s="11" t="s">
        <v>202</v>
      </c>
      <c r="D19" t="s">
        <v>201</v>
      </c>
    </row>
    <row r="20" spans="1:4" x14ac:dyDescent="0.25">
      <c r="A20" t="s">
        <v>200</v>
      </c>
      <c r="B20" t="s">
        <v>199</v>
      </c>
      <c r="C20" s="11" t="s">
        <v>198</v>
      </c>
      <c r="D20" t="s">
        <v>197</v>
      </c>
    </row>
    <row r="21" spans="1:4" x14ac:dyDescent="0.25">
      <c r="A21" t="s">
        <v>196</v>
      </c>
      <c r="C21" s="11" t="s">
        <v>195</v>
      </c>
      <c r="D21" t="s">
        <v>194</v>
      </c>
    </row>
    <row r="22" spans="1:4" x14ac:dyDescent="0.25">
      <c r="A22" t="s">
        <v>193</v>
      </c>
      <c r="B22" t="s">
        <v>192</v>
      </c>
      <c r="D22" t="s">
        <v>191</v>
      </c>
    </row>
    <row r="23" spans="1:4" x14ac:dyDescent="0.25">
      <c r="A23" t="s">
        <v>190</v>
      </c>
      <c r="B23" t="s">
        <v>189</v>
      </c>
      <c r="C23" s="11" t="s">
        <v>188</v>
      </c>
      <c r="D23" t="s">
        <v>187</v>
      </c>
    </row>
    <row r="24" spans="1:4" x14ac:dyDescent="0.25">
      <c r="A24" t="s">
        <v>186</v>
      </c>
      <c r="C24" s="11" t="s">
        <v>185</v>
      </c>
      <c r="D24" t="s">
        <v>184</v>
      </c>
    </row>
    <row r="25" spans="1:4" x14ac:dyDescent="0.25">
      <c r="A25" t="s">
        <v>183</v>
      </c>
      <c r="B25" t="s">
        <v>182</v>
      </c>
      <c r="C25" s="11" t="s">
        <v>181</v>
      </c>
      <c r="D25" t="s">
        <v>180</v>
      </c>
    </row>
    <row r="26" spans="1:4" x14ac:dyDescent="0.25">
      <c r="A26" t="s">
        <v>179</v>
      </c>
      <c r="B26" t="s">
        <v>178</v>
      </c>
      <c r="C26" s="11" t="s">
        <v>177</v>
      </c>
      <c r="D26" t="s">
        <v>176</v>
      </c>
    </row>
    <row r="27" spans="1:4" x14ac:dyDescent="0.25">
      <c r="A27" t="s">
        <v>175</v>
      </c>
      <c r="D27" t="s">
        <v>174</v>
      </c>
    </row>
    <row r="28" spans="1:4" x14ac:dyDescent="0.25">
      <c r="A28" t="s">
        <v>173</v>
      </c>
      <c r="B28" t="s">
        <v>172</v>
      </c>
      <c r="C28" s="11" t="s">
        <v>171</v>
      </c>
      <c r="D28" t="s">
        <v>170</v>
      </c>
    </row>
    <row r="29" spans="1:4" x14ac:dyDescent="0.25">
      <c r="A29" t="s">
        <v>169</v>
      </c>
      <c r="B29" t="s">
        <v>168</v>
      </c>
      <c r="D29" t="s">
        <v>167</v>
      </c>
    </row>
    <row r="30" spans="1:4" x14ac:dyDescent="0.25">
      <c r="A30" t="s">
        <v>166</v>
      </c>
      <c r="B30" t="s">
        <v>165</v>
      </c>
      <c r="C30" s="11" t="s">
        <v>164</v>
      </c>
      <c r="D30" t="s">
        <v>163</v>
      </c>
    </row>
    <row r="31" spans="1:4" x14ac:dyDescent="0.25">
      <c r="A31" t="s">
        <v>162</v>
      </c>
      <c r="B31" t="s">
        <v>161</v>
      </c>
      <c r="C31" s="11" t="s">
        <v>160</v>
      </c>
      <c r="D31" t="s">
        <v>159</v>
      </c>
    </row>
    <row r="32" spans="1:4" x14ac:dyDescent="0.25">
      <c r="A32" t="s">
        <v>158</v>
      </c>
      <c r="B32" t="s">
        <v>157</v>
      </c>
      <c r="C32" s="11" t="s">
        <v>156</v>
      </c>
      <c r="D32" t="s">
        <v>155</v>
      </c>
    </row>
    <row r="33" spans="1:4" x14ac:dyDescent="0.25">
      <c r="A33" t="s">
        <v>154</v>
      </c>
      <c r="B33" t="s">
        <v>153</v>
      </c>
      <c r="D33" t="s">
        <v>152</v>
      </c>
    </row>
    <row r="34" spans="1:4" x14ac:dyDescent="0.25">
      <c r="A34" t="s">
        <v>151</v>
      </c>
      <c r="D34" t="s">
        <v>150</v>
      </c>
    </row>
    <row r="35" spans="1:4" x14ac:dyDescent="0.25">
      <c r="A35" t="s">
        <v>149</v>
      </c>
      <c r="B35" t="s">
        <v>148</v>
      </c>
      <c r="C35" s="11" t="s">
        <v>147</v>
      </c>
      <c r="D35" t="s">
        <v>146</v>
      </c>
    </row>
    <row r="36" spans="1:4" x14ac:dyDescent="0.25">
      <c r="A36" t="s">
        <v>145</v>
      </c>
      <c r="D36" t="s">
        <v>144</v>
      </c>
    </row>
    <row r="37" spans="1:4" x14ac:dyDescent="0.25">
      <c r="A37" t="s">
        <v>143</v>
      </c>
      <c r="D37" t="s">
        <v>142</v>
      </c>
    </row>
    <row r="38" spans="1:4" x14ac:dyDescent="0.25">
      <c r="A38" t="s">
        <v>141</v>
      </c>
      <c r="B38" t="s">
        <v>140</v>
      </c>
      <c r="D38" t="s">
        <v>139</v>
      </c>
    </row>
    <row r="39" spans="1:4" x14ac:dyDescent="0.25">
      <c r="A39" t="s">
        <v>3</v>
      </c>
      <c r="D39" t="s">
        <v>138</v>
      </c>
    </row>
    <row r="40" spans="1:4" x14ac:dyDescent="0.25">
      <c r="A40" t="s">
        <v>137</v>
      </c>
      <c r="D40" t="s">
        <v>136</v>
      </c>
    </row>
    <row r="41" spans="1:4" x14ac:dyDescent="0.25">
      <c r="A41" t="s">
        <v>135</v>
      </c>
      <c r="B41" t="s">
        <v>134</v>
      </c>
      <c r="D41" t="s">
        <v>133</v>
      </c>
    </row>
    <row r="42" spans="1:4" x14ac:dyDescent="0.25">
      <c r="A42" t="s">
        <v>132</v>
      </c>
      <c r="D42" t="s">
        <v>131</v>
      </c>
    </row>
    <row r="43" spans="1:4" x14ac:dyDescent="0.25">
      <c r="A43" t="s">
        <v>130</v>
      </c>
      <c r="D43" t="s">
        <v>129</v>
      </c>
    </row>
    <row r="44" spans="1:4" x14ac:dyDescent="0.25">
      <c r="A44" t="s">
        <v>128</v>
      </c>
      <c r="B44" t="s">
        <v>127</v>
      </c>
      <c r="C44" s="11" t="s">
        <v>126</v>
      </c>
      <c r="D44" t="s">
        <v>125</v>
      </c>
    </row>
    <row r="45" spans="1:4" x14ac:dyDescent="0.25">
      <c r="A45" t="s">
        <v>124</v>
      </c>
      <c r="D45" t="s">
        <v>123</v>
      </c>
    </row>
    <row r="46" spans="1:4" x14ac:dyDescent="0.25">
      <c r="A46" t="s">
        <v>122</v>
      </c>
      <c r="C46" s="11" t="s">
        <v>121</v>
      </c>
      <c r="D46" t="s">
        <v>120</v>
      </c>
    </row>
    <row r="47" spans="1:4" x14ac:dyDescent="0.25">
      <c r="A47" t="s">
        <v>119</v>
      </c>
      <c r="D47" t="s">
        <v>118</v>
      </c>
    </row>
    <row r="48" spans="1:4" x14ac:dyDescent="0.25">
      <c r="A48" t="s">
        <v>117</v>
      </c>
      <c r="B48" t="s">
        <v>116</v>
      </c>
      <c r="C48" s="11" t="s">
        <v>115</v>
      </c>
      <c r="D48" t="s">
        <v>114</v>
      </c>
    </row>
    <row r="49" spans="1:4" x14ac:dyDescent="0.25">
      <c r="A49" t="s">
        <v>113</v>
      </c>
      <c r="C49" s="11" t="s">
        <v>112</v>
      </c>
      <c r="D49" t="s">
        <v>111</v>
      </c>
    </row>
    <row r="50" spans="1:4" x14ac:dyDescent="0.25">
      <c r="A50" t="s">
        <v>110</v>
      </c>
      <c r="B50" t="s">
        <v>109</v>
      </c>
      <c r="C50" s="11" t="s">
        <v>108</v>
      </c>
      <c r="D50" t="s">
        <v>107</v>
      </c>
    </row>
    <row r="51" spans="1:4" x14ac:dyDescent="0.25">
      <c r="A51" t="s">
        <v>106</v>
      </c>
      <c r="B51" t="s">
        <v>105</v>
      </c>
      <c r="D51" t="s">
        <v>104</v>
      </c>
    </row>
    <row r="52" spans="1:4" x14ac:dyDescent="0.25">
      <c r="A52" t="s">
        <v>103</v>
      </c>
      <c r="C52" s="11" t="s">
        <v>102</v>
      </c>
      <c r="D52" t="s">
        <v>101</v>
      </c>
    </row>
    <row r="53" spans="1:4" x14ac:dyDescent="0.25">
      <c r="A53" t="s">
        <v>100</v>
      </c>
      <c r="B53" t="s">
        <v>99</v>
      </c>
      <c r="C53" s="11" t="s">
        <v>98</v>
      </c>
      <c r="D53" t="s">
        <v>97</v>
      </c>
    </row>
    <row r="54" spans="1:4" x14ac:dyDescent="0.25">
      <c r="A54" t="s">
        <v>96</v>
      </c>
      <c r="B54" t="s">
        <v>95</v>
      </c>
      <c r="D54" t="s">
        <v>94</v>
      </c>
    </row>
    <row r="55" spans="1:4" x14ac:dyDescent="0.25">
      <c r="A55" t="s">
        <v>93</v>
      </c>
      <c r="B55" t="s">
        <v>92</v>
      </c>
      <c r="D55" t="s">
        <v>91</v>
      </c>
    </row>
    <row r="56" spans="1:4" x14ac:dyDescent="0.25">
      <c r="A56" t="s">
        <v>90</v>
      </c>
      <c r="B56" t="s">
        <v>89</v>
      </c>
      <c r="C56" s="11" t="s">
        <v>88</v>
      </c>
      <c r="D56" t="s">
        <v>87</v>
      </c>
    </row>
    <row r="57" spans="1:4" x14ac:dyDescent="0.25">
      <c r="A57" t="s">
        <v>86</v>
      </c>
      <c r="D57" t="s">
        <v>85</v>
      </c>
    </row>
  </sheetData>
  <sortState xmlns:xlrd2="http://schemas.microsoft.com/office/spreadsheetml/2017/richdata2" ref="A1:D3">
    <sortCondition ref="A1:A3"/>
  </sortState>
  <hyperlinks>
    <hyperlink ref="C4" r:id="rId1" xr:uid="{0B5BE9FA-9B82-4728-8A98-08D5B101A559}"/>
    <hyperlink ref="C5" r:id="rId2" xr:uid="{88C433C5-E313-4848-99CA-DE2C6A66073C}"/>
    <hyperlink ref="C1" r:id="rId3" xr:uid="{ACD0CF06-2817-4CEA-B05B-9F07B31506F3}"/>
    <hyperlink ref="C23" r:id="rId4" xr:uid="{51121217-7D8B-4633-A75E-775436A6ABA4}"/>
    <hyperlink ref="A15" r:id="rId5" display="Comptoir@lectronique" xr:uid="{885F4EDE-E254-423D-9EA3-2338C32165B6}"/>
    <hyperlink ref="C15" r:id="rId6" xr:uid="{53131CB3-E06C-4576-AC87-9DC04B5F57A4}"/>
    <hyperlink ref="C8" r:id="rId7" xr:uid="{D0BAAC04-5A95-4D5D-8A59-8989BA90CD6B}"/>
    <hyperlink ref="C9" r:id="rId8" xr:uid="{D63BEA73-5671-4F8A-A665-4521E1A556FF}"/>
    <hyperlink ref="C11" r:id="rId9" xr:uid="{38BC14BA-4B3C-42AD-8351-726C1A2AB63F}"/>
    <hyperlink ref="C10" r:id="rId10" xr:uid="{E34FA805-0AB9-431A-9D2A-71808D7F9482}"/>
    <hyperlink ref="C28" r:id="rId11" xr:uid="{3053D1CE-9668-4D16-8AFC-F145E491FED7}"/>
    <hyperlink ref="C17" r:id="rId12" xr:uid="{BEB4F6F6-5522-459B-B1B0-21D93D080BF7}"/>
    <hyperlink ref="C19" r:id="rId13" xr:uid="{60A6F389-51A0-47CA-9F71-B7EBFB8B68A6}"/>
    <hyperlink ref="C20" r:id="rId14" xr:uid="{CC4BB445-2BC8-4205-BC23-11E72161DF9A}"/>
    <hyperlink ref="C21" r:id="rId15" xr:uid="{7F9EFBC1-BE4D-49D9-8A56-40D9628C0C93}"/>
    <hyperlink ref="C52" r:id="rId16" xr:uid="{40FEC15F-3303-49C2-8A4E-F7C26176E293}"/>
    <hyperlink ref="C14" r:id="rId17" xr:uid="{FE86CE4E-44A3-4170-8FF6-E67A4506A622}"/>
    <hyperlink ref="C26" r:id="rId18" xr:uid="{90E68C48-1794-4C4F-81EA-7239EE4A3A67}"/>
    <hyperlink ref="C24" r:id="rId19" xr:uid="{2D9C0CBB-EADF-42DF-A479-F9B4543B8A30}"/>
    <hyperlink ref="C25" r:id="rId20" xr:uid="{21DC571A-B5A5-438C-90DF-63F7E452074A}"/>
    <hyperlink ref="C31" r:id="rId21" xr:uid="{0E6D23DA-4F72-4D78-B603-66409A1AD31B}"/>
    <hyperlink ref="C32" r:id="rId22" xr:uid="{CB68001D-A82A-4B69-93F2-CA63A9C4CC5C}"/>
    <hyperlink ref="C30" r:id="rId23" xr:uid="{08D19B83-DAD3-408E-9FC5-7001DA6C3113}"/>
    <hyperlink ref="C35" r:id="rId24" xr:uid="{3190B74C-45B7-4110-810F-F8192795B36C}"/>
    <hyperlink ref="C44" r:id="rId25" xr:uid="{8DACF242-E257-4B7D-A8E4-2F333FF49C7E}"/>
    <hyperlink ref="C48" r:id="rId26" xr:uid="{029A19C9-0B09-4A50-AAA2-4055F38C85B1}"/>
    <hyperlink ref="C49" r:id="rId27" xr:uid="{640BF33E-CA6C-4D6E-8E6C-A6D6B5EE7D01}"/>
    <hyperlink ref="C50" r:id="rId28" xr:uid="{24617188-828F-4DC7-AFC8-C0815E2A62FB}"/>
    <hyperlink ref="C53" r:id="rId29" xr:uid="{A1566B57-CA56-48BD-8B9E-0B3715BD9B8F}"/>
    <hyperlink ref="C46" r:id="rId30" xr:uid="{297C4E17-5350-41B5-AC29-242E45AE4ED3}"/>
    <hyperlink ref="C56" r:id="rId31" xr:uid="{1389936A-FF9E-48F6-9FBF-6D191E1E9BAC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A01A1-7E5F-4DEA-930F-26A037A45793}">
  <sheetPr codeName="Feuil10">
    <tabColor rgb="FFFF0000"/>
  </sheetPr>
  <dimension ref="A1:R57"/>
  <sheetViews>
    <sheetView zoomScale="78" zoomScaleNormal="78" workbookViewId="0">
      <selection activeCell="I3" sqref="I3:R5"/>
    </sheetView>
  </sheetViews>
  <sheetFormatPr baseColWidth="10" defaultRowHeight="15" x14ac:dyDescent="0.25"/>
  <cols>
    <col min="1" max="1" width="63.7109375" bestFit="1" customWidth="1"/>
    <col min="5" max="5" width="63.7109375" bestFit="1" customWidth="1"/>
    <col min="9" max="9" width="14.140625" customWidth="1"/>
    <col min="11" max="11" width="11.42578125" customWidth="1"/>
    <col min="14" max="14" width="16.85546875" customWidth="1"/>
    <col min="16" max="16" width="13.7109375" customWidth="1"/>
    <col min="17" max="17" width="14.7109375" customWidth="1"/>
    <col min="18" max="18" width="17" customWidth="1"/>
  </cols>
  <sheetData>
    <row r="1" spans="1:18" x14ac:dyDescent="0.25">
      <c r="A1" s="105" t="s">
        <v>286</v>
      </c>
      <c r="B1" s="105"/>
      <c r="C1" s="15"/>
      <c r="E1" s="105" t="s">
        <v>287</v>
      </c>
      <c r="F1" s="105"/>
      <c r="I1" s="9" t="s">
        <v>24</v>
      </c>
      <c r="J1" s="8" t="s">
        <v>23</v>
      </c>
      <c r="K1" s="7" t="s">
        <v>22</v>
      </c>
      <c r="L1" s="6" t="s">
        <v>21</v>
      </c>
      <c r="M1" s="6" t="s">
        <v>20</v>
      </c>
      <c r="N1" s="6" t="s">
        <v>19</v>
      </c>
      <c r="O1" s="6" t="s">
        <v>18</v>
      </c>
      <c r="P1" s="6" t="s">
        <v>17</v>
      </c>
      <c r="Q1" s="6" t="s">
        <v>16</v>
      </c>
      <c r="R1" s="6" t="s">
        <v>15</v>
      </c>
    </row>
    <row r="2" spans="1:18" x14ac:dyDescent="0.25">
      <c r="A2" s="10" t="s">
        <v>65</v>
      </c>
      <c r="B2" s="83">
        <v>1500</v>
      </c>
      <c r="E2" s="10" t="s">
        <v>65</v>
      </c>
      <c r="F2" s="83">
        <v>0</v>
      </c>
      <c r="I2" s="5" t="s">
        <v>14</v>
      </c>
      <c r="J2" s="4"/>
      <c r="K2" s="3"/>
      <c r="L2" s="2"/>
      <c r="M2" s="2"/>
      <c r="N2" s="2"/>
      <c r="O2" s="2"/>
      <c r="P2" s="2"/>
      <c r="Q2" s="2"/>
      <c r="R2" s="2"/>
    </row>
    <row r="3" spans="1:18" x14ac:dyDescent="0.25">
      <c r="A3" s="10" t="s">
        <v>12</v>
      </c>
      <c r="B3" s="83">
        <v>2000</v>
      </c>
      <c r="E3" t="s">
        <v>64</v>
      </c>
      <c r="F3" s="17">
        <v>0</v>
      </c>
      <c r="I3" t="s">
        <v>296</v>
      </c>
      <c r="J3" s="85">
        <v>43893</v>
      </c>
      <c r="K3">
        <v>100</v>
      </c>
      <c r="L3" t="s">
        <v>179</v>
      </c>
      <c r="M3" t="s">
        <v>2</v>
      </c>
      <c r="N3" t="s">
        <v>58</v>
      </c>
      <c r="O3" t="s">
        <v>297</v>
      </c>
      <c r="P3" t="s">
        <v>265</v>
      </c>
      <c r="Q3" t="s">
        <v>0</v>
      </c>
      <c r="R3" t="s">
        <v>298</v>
      </c>
    </row>
    <row r="4" spans="1:18" x14ac:dyDescent="0.25">
      <c r="A4" s="10" t="s">
        <v>2</v>
      </c>
      <c r="B4" s="83">
        <v>7500</v>
      </c>
      <c r="E4" t="s">
        <v>63</v>
      </c>
      <c r="F4" s="17">
        <v>0</v>
      </c>
      <c r="I4" t="s">
        <v>293</v>
      </c>
      <c r="J4" s="85">
        <v>43863</v>
      </c>
      <c r="K4">
        <v>50</v>
      </c>
      <c r="L4" t="s">
        <v>292</v>
      </c>
      <c r="M4" t="s">
        <v>9</v>
      </c>
      <c r="N4" t="s">
        <v>40</v>
      </c>
      <c r="O4" t="s">
        <v>294</v>
      </c>
      <c r="P4" t="s">
        <v>267</v>
      </c>
      <c r="R4" t="s">
        <v>295</v>
      </c>
    </row>
    <row r="5" spans="1:18" x14ac:dyDescent="0.25">
      <c r="A5" s="10" t="s">
        <v>45</v>
      </c>
      <c r="B5" s="83">
        <v>10000</v>
      </c>
      <c r="E5" t="s">
        <v>62</v>
      </c>
      <c r="F5" s="17">
        <v>0</v>
      </c>
      <c r="I5" t="s">
        <v>289</v>
      </c>
      <c r="J5" s="85">
        <v>43831</v>
      </c>
      <c r="K5">
        <v>10</v>
      </c>
      <c r="L5" t="s">
        <v>13</v>
      </c>
      <c r="M5" t="s">
        <v>12</v>
      </c>
      <c r="N5" t="s">
        <v>11</v>
      </c>
      <c r="O5" t="s">
        <v>290</v>
      </c>
      <c r="P5" t="s">
        <v>266</v>
      </c>
      <c r="R5" t="s">
        <v>291</v>
      </c>
    </row>
    <row r="6" spans="1:18" x14ac:dyDescent="0.25">
      <c r="A6" s="10" t="s">
        <v>9</v>
      </c>
      <c r="B6" s="83">
        <v>5000</v>
      </c>
      <c r="E6" s="10" t="s">
        <v>12</v>
      </c>
      <c r="F6" s="84">
        <v>10</v>
      </c>
    </row>
    <row r="7" spans="1:18" x14ac:dyDescent="0.25">
      <c r="A7" s="10" t="s">
        <v>7</v>
      </c>
      <c r="B7" s="83">
        <v>1500</v>
      </c>
      <c r="E7" t="s">
        <v>61</v>
      </c>
      <c r="F7" s="17">
        <v>0</v>
      </c>
    </row>
    <row r="8" spans="1:18" x14ac:dyDescent="0.25">
      <c r="A8" s="10" t="s">
        <v>26</v>
      </c>
      <c r="B8" s="83">
        <v>1000</v>
      </c>
      <c r="E8" t="s">
        <v>60</v>
      </c>
      <c r="F8" s="17">
        <v>0</v>
      </c>
    </row>
    <row r="9" spans="1:18" x14ac:dyDescent="0.25">
      <c r="E9" t="s">
        <v>11</v>
      </c>
      <c r="F9" s="17">
        <v>10</v>
      </c>
      <c r="J9" s="85"/>
    </row>
    <row r="10" spans="1:18" x14ac:dyDescent="0.25">
      <c r="A10" s="106" t="s">
        <v>260</v>
      </c>
      <c r="B10" s="106"/>
      <c r="E10" s="10" t="s">
        <v>2</v>
      </c>
      <c r="F10" s="84">
        <v>100</v>
      </c>
      <c r="J10" s="85"/>
    </row>
    <row r="11" spans="1:18" x14ac:dyDescent="0.25">
      <c r="A11" s="10" t="s">
        <v>257</v>
      </c>
      <c r="B11">
        <v>2020</v>
      </c>
      <c r="E11" t="s">
        <v>59</v>
      </c>
      <c r="F11" s="17">
        <v>0</v>
      </c>
    </row>
    <row r="12" spans="1:18" x14ac:dyDescent="0.25">
      <c r="A12" s="10" t="s">
        <v>269</v>
      </c>
      <c r="B12" s="17">
        <v>160</v>
      </c>
      <c r="E12" t="s">
        <v>58</v>
      </c>
      <c r="F12" s="17">
        <v>100</v>
      </c>
    </row>
    <row r="13" spans="1:18" x14ac:dyDescent="0.25">
      <c r="A13" s="10" t="s">
        <v>268</v>
      </c>
      <c r="B13" s="17">
        <v>28500</v>
      </c>
      <c r="E13" t="s">
        <v>57</v>
      </c>
      <c r="F13" s="17">
        <v>0</v>
      </c>
    </row>
    <row r="14" spans="1:18" x14ac:dyDescent="0.25">
      <c r="E14" t="s">
        <v>56</v>
      </c>
      <c r="F14" s="17">
        <v>0</v>
      </c>
    </row>
    <row r="15" spans="1:18" x14ac:dyDescent="0.25">
      <c r="E15" t="s">
        <v>55</v>
      </c>
      <c r="F15" s="17">
        <v>0</v>
      </c>
    </row>
    <row r="16" spans="1:18" x14ac:dyDescent="0.25">
      <c r="E16" t="s">
        <v>1</v>
      </c>
      <c r="F16" s="17">
        <v>0</v>
      </c>
    </row>
    <row r="17" spans="5:6" x14ac:dyDescent="0.25">
      <c r="E17" t="s">
        <v>54</v>
      </c>
      <c r="F17" s="17">
        <v>0</v>
      </c>
    </row>
    <row r="18" spans="5:6" x14ac:dyDescent="0.25">
      <c r="E18" t="s">
        <v>53</v>
      </c>
      <c r="F18" s="17">
        <v>0</v>
      </c>
    </row>
    <row r="19" spans="5:6" x14ac:dyDescent="0.25">
      <c r="E19" t="s">
        <v>52</v>
      </c>
      <c r="F19" s="17">
        <v>0</v>
      </c>
    </row>
    <row r="20" spans="5:6" x14ac:dyDescent="0.25">
      <c r="E20" t="s">
        <v>51</v>
      </c>
      <c r="F20" s="17">
        <v>0</v>
      </c>
    </row>
    <row r="21" spans="5:6" x14ac:dyDescent="0.25">
      <c r="E21" t="s">
        <v>50</v>
      </c>
      <c r="F21" s="17">
        <v>0</v>
      </c>
    </row>
    <row r="22" spans="5:6" x14ac:dyDescent="0.25">
      <c r="E22" t="s">
        <v>49</v>
      </c>
      <c r="F22" s="17">
        <v>0</v>
      </c>
    </row>
    <row r="23" spans="5:6" x14ac:dyDescent="0.25">
      <c r="E23" t="s">
        <v>48</v>
      </c>
      <c r="F23" s="17">
        <v>0</v>
      </c>
    </row>
    <row r="24" spans="5:6" x14ac:dyDescent="0.25">
      <c r="E24" t="s">
        <v>47</v>
      </c>
      <c r="F24" s="17">
        <v>0</v>
      </c>
    </row>
    <row r="25" spans="5:6" x14ac:dyDescent="0.25">
      <c r="E25" t="s">
        <v>46</v>
      </c>
      <c r="F25" s="17">
        <v>0</v>
      </c>
    </row>
    <row r="26" spans="5:6" x14ac:dyDescent="0.25">
      <c r="E26" s="10" t="s">
        <v>45</v>
      </c>
      <c r="F26" s="84">
        <v>0</v>
      </c>
    </row>
    <row r="27" spans="5:6" x14ac:dyDescent="0.25">
      <c r="E27" t="s">
        <v>44</v>
      </c>
      <c r="F27" s="17">
        <v>0</v>
      </c>
    </row>
    <row r="28" spans="5:6" x14ac:dyDescent="0.25">
      <c r="E28" t="s">
        <v>43</v>
      </c>
      <c r="F28" s="17">
        <v>0</v>
      </c>
    </row>
    <row r="29" spans="5:6" x14ac:dyDescent="0.25">
      <c r="E29" t="s">
        <v>42</v>
      </c>
      <c r="F29" s="17">
        <v>0</v>
      </c>
    </row>
    <row r="30" spans="5:6" x14ac:dyDescent="0.25">
      <c r="E30" t="s">
        <v>41</v>
      </c>
      <c r="F30" s="17">
        <v>0</v>
      </c>
    </row>
    <row r="31" spans="5:6" x14ac:dyDescent="0.25">
      <c r="E31" s="10" t="s">
        <v>9</v>
      </c>
      <c r="F31" s="84">
        <v>50</v>
      </c>
    </row>
    <row r="32" spans="5:6" x14ac:dyDescent="0.25">
      <c r="E32" t="s">
        <v>40</v>
      </c>
      <c r="F32" s="17">
        <v>50</v>
      </c>
    </row>
    <row r="33" spans="5:6" x14ac:dyDescent="0.25">
      <c r="E33" t="s">
        <v>39</v>
      </c>
      <c r="F33" s="17">
        <v>0</v>
      </c>
    </row>
    <row r="34" spans="5:6" x14ac:dyDescent="0.25">
      <c r="E34" t="s">
        <v>8</v>
      </c>
      <c r="F34" s="17">
        <v>0</v>
      </c>
    </row>
    <row r="35" spans="5:6" x14ac:dyDescent="0.25">
      <c r="E35" t="s">
        <v>38</v>
      </c>
      <c r="F35" s="17">
        <v>0</v>
      </c>
    </row>
    <row r="36" spans="5:6" x14ac:dyDescent="0.25">
      <c r="E36" t="s">
        <v>37</v>
      </c>
      <c r="F36" s="17">
        <v>0</v>
      </c>
    </row>
    <row r="37" spans="5:6" x14ac:dyDescent="0.25">
      <c r="E37" t="s">
        <v>36</v>
      </c>
      <c r="F37" s="17">
        <v>0</v>
      </c>
    </row>
    <row r="38" spans="5:6" x14ac:dyDescent="0.25">
      <c r="E38" t="s">
        <v>35</v>
      </c>
      <c r="F38" s="17">
        <v>0</v>
      </c>
    </row>
    <row r="39" spans="5:6" x14ac:dyDescent="0.25">
      <c r="E39" t="s">
        <v>34</v>
      </c>
      <c r="F39" s="17">
        <v>0</v>
      </c>
    </row>
    <row r="40" spans="5:6" x14ac:dyDescent="0.25">
      <c r="E40" t="s">
        <v>33</v>
      </c>
      <c r="F40" s="17">
        <v>0</v>
      </c>
    </row>
    <row r="41" spans="5:6" x14ac:dyDescent="0.25">
      <c r="E41" s="10" t="s">
        <v>7</v>
      </c>
      <c r="F41" s="84">
        <v>0</v>
      </c>
    </row>
    <row r="42" spans="5:6" x14ac:dyDescent="0.25">
      <c r="E42" t="s">
        <v>32</v>
      </c>
      <c r="F42" s="17">
        <v>0</v>
      </c>
    </row>
    <row r="43" spans="5:6" x14ac:dyDescent="0.25">
      <c r="E43" t="s">
        <v>31</v>
      </c>
      <c r="F43" s="17">
        <v>0</v>
      </c>
    </row>
    <row r="44" spans="5:6" x14ac:dyDescent="0.25">
      <c r="E44" t="s">
        <v>30</v>
      </c>
      <c r="F44" s="17">
        <v>0</v>
      </c>
    </row>
    <row r="45" spans="5:6" x14ac:dyDescent="0.25">
      <c r="E45" t="s">
        <v>29</v>
      </c>
      <c r="F45" s="17">
        <v>0</v>
      </c>
    </row>
    <row r="46" spans="5:6" x14ac:dyDescent="0.25">
      <c r="E46" t="s">
        <v>28</v>
      </c>
      <c r="F46" s="17">
        <v>0</v>
      </c>
    </row>
    <row r="47" spans="5:6" x14ac:dyDescent="0.25">
      <c r="E47" t="s">
        <v>27</v>
      </c>
      <c r="F47" s="17">
        <v>0</v>
      </c>
    </row>
    <row r="48" spans="5:6" x14ac:dyDescent="0.25">
      <c r="E48" t="s">
        <v>6</v>
      </c>
      <c r="F48" s="17">
        <v>0</v>
      </c>
    </row>
    <row r="49" spans="5:6" x14ac:dyDescent="0.25">
      <c r="E49" s="10" t="s">
        <v>26</v>
      </c>
      <c r="F49" s="84">
        <v>0</v>
      </c>
    </row>
    <row r="50" spans="5:6" x14ac:dyDescent="0.25">
      <c r="E50" t="s">
        <v>25</v>
      </c>
      <c r="F50" s="17">
        <v>0</v>
      </c>
    </row>
    <row r="51" spans="5:6" x14ac:dyDescent="0.25">
      <c r="F51" s="17"/>
    </row>
    <row r="52" spans="5:6" x14ac:dyDescent="0.25">
      <c r="F52" s="17"/>
    </row>
    <row r="53" spans="5:6" x14ac:dyDescent="0.25">
      <c r="F53" s="17"/>
    </row>
    <row r="54" spans="5:6" x14ac:dyDescent="0.25">
      <c r="F54" s="17"/>
    </row>
    <row r="55" spans="5:6" x14ac:dyDescent="0.25">
      <c r="F55" s="17"/>
    </row>
    <row r="56" spans="5:6" x14ac:dyDescent="0.25">
      <c r="F56" s="17"/>
    </row>
    <row r="57" spans="5:6" x14ac:dyDescent="0.25">
      <c r="F57" s="17"/>
    </row>
  </sheetData>
  <sortState xmlns:xlrd2="http://schemas.microsoft.com/office/spreadsheetml/2017/richdata2" ref="I3:R5">
    <sortCondition descending="1" ref="J3:J5"/>
  </sortState>
  <mergeCells count="3">
    <mergeCell ref="A1:B1"/>
    <mergeCell ref="E1:F1"/>
    <mergeCell ref="A10:B10"/>
  </mergeCell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28F52-E18A-42E0-82B5-54179937A486}">
  <sheetPr codeName="Feuil9">
    <tabColor rgb="FFFF0000"/>
  </sheetPr>
  <dimension ref="A1:R50"/>
  <sheetViews>
    <sheetView zoomScale="78" zoomScaleNormal="78" workbookViewId="0">
      <selection activeCell="F45" sqref="F45"/>
    </sheetView>
  </sheetViews>
  <sheetFormatPr baseColWidth="10" defaultRowHeight="15" x14ac:dyDescent="0.25"/>
  <cols>
    <col min="1" max="1" width="63.7109375" bestFit="1" customWidth="1"/>
    <col min="5" max="5" width="63.7109375" bestFit="1" customWidth="1"/>
    <col min="9" max="9" width="14.140625" customWidth="1"/>
    <col min="14" max="14" width="16.85546875" customWidth="1"/>
    <col min="16" max="16" width="13.7109375" customWidth="1"/>
    <col min="17" max="17" width="14.7109375" customWidth="1"/>
    <col min="18" max="18" width="17" customWidth="1"/>
  </cols>
  <sheetData>
    <row r="1" spans="1:18" x14ac:dyDescent="0.25">
      <c r="A1" s="105" t="s">
        <v>258</v>
      </c>
      <c r="B1" s="105"/>
      <c r="C1" s="15"/>
      <c r="E1" s="105" t="s">
        <v>259</v>
      </c>
      <c r="F1" s="105"/>
      <c r="I1" s="9" t="s">
        <v>24</v>
      </c>
      <c r="J1" s="8" t="s">
        <v>23</v>
      </c>
      <c r="K1" s="7" t="s">
        <v>22</v>
      </c>
      <c r="L1" s="6" t="s">
        <v>21</v>
      </c>
      <c r="M1" s="6" t="s">
        <v>20</v>
      </c>
      <c r="N1" s="6" t="s">
        <v>19</v>
      </c>
      <c r="O1" s="6" t="s">
        <v>18</v>
      </c>
      <c r="P1" s="6" t="s">
        <v>17</v>
      </c>
      <c r="Q1" s="6" t="s">
        <v>16</v>
      </c>
      <c r="R1" s="6" t="s">
        <v>15</v>
      </c>
    </row>
    <row r="2" spans="1:18" x14ac:dyDescent="0.25">
      <c r="A2" s="10" t="s">
        <v>65</v>
      </c>
      <c r="B2" s="16">
        <v>0</v>
      </c>
      <c r="E2" s="10" t="s">
        <v>65</v>
      </c>
      <c r="F2" s="16">
        <v>0</v>
      </c>
      <c r="I2" s="5" t="s">
        <v>14</v>
      </c>
      <c r="J2" s="4"/>
      <c r="K2" s="3"/>
      <c r="L2" s="2"/>
      <c r="M2" s="2"/>
      <c r="N2" s="2"/>
      <c r="O2" s="2"/>
      <c r="P2" s="2"/>
      <c r="Q2" s="2"/>
      <c r="R2" s="2"/>
    </row>
    <row r="3" spans="1:18" x14ac:dyDescent="0.25">
      <c r="A3" s="10" t="s">
        <v>12</v>
      </c>
      <c r="B3" s="16">
        <v>0</v>
      </c>
      <c r="E3" t="s">
        <v>64</v>
      </c>
      <c r="F3" s="16">
        <v>0</v>
      </c>
    </row>
    <row r="4" spans="1:18" x14ac:dyDescent="0.25">
      <c r="A4" s="10" t="s">
        <v>2</v>
      </c>
      <c r="B4" s="16">
        <v>0</v>
      </c>
      <c r="E4" t="s">
        <v>63</v>
      </c>
      <c r="F4" s="16">
        <v>0</v>
      </c>
    </row>
    <row r="5" spans="1:18" x14ac:dyDescent="0.25">
      <c r="A5" s="10" t="s">
        <v>45</v>
      </c>
      <c r="B5" s="16">
        <v>0</v>
      </c>
      <c r="E5" t="s">
        <v>62</v>
      </c>
      <c r="F5" s="16">
        <v>0</v>
      </c>
    </row>
    <row r="6" spans="1:18" x14ac:dyDescent="0.25">
      <c r="A6" s="10" t="s">
        <v>9</v>
      </c>
      <c r="B6" s="16">
        <v>0</v>
      </c>
      <c r="E6" s="10" t="s">
        <v>12</v>
      </c>
      <c r="F6" s="16">
        <v>0</v>
      </c>
    </row>
    <row r="7" spans="1:18" x14ac:dyDescent="0.25">
      <c r="A7" s="10" t="s">
        <v>7</v>
      </c>
      <c r="B7" s="16">
        <v>0</v>
      </c>
      <c r="E7" t="s">
        <v>61</v>
      </c>
      <c r="F7" s="16">
        <v>0</v>
      </c>
    </row>
    <row r="8" spans="1:18" x14ac:dyDescent="0.25">
      <c r="A8" s="10" t="s">
        <v>26</v>
      </c>
      <c r="B8" s="16">
        <v>0</v>
      </c>
      <c r="E8" t="s">
        <v>60</v>
      </c>
      <c r="F8" s="16">
        <v>0</v>
      </c>
    </row>
    <row r="9" spans="1:18" x14ac:dyDescent="0.25">
      <c r="E9" t="s">
        <v>11</v>
      </c>
      <c r="F9" s="16">
        <v>0</v>
      </c>
    </row>
    <row r="10" spans="1:18" x14ac:dyDescent="0.25">
      <c r="A10" s="106" t="s">
        <v>260</v>
      </c>
      <c r="B10" s="106"/>
      <c r="E10" s="10" t="s">
        <v>2</v>
      </c>
      <c r="F10" s="16">
        <v>0</v>
      </c>
    </row>
    <row r="11" spans="1:18" x14ac:dyDescent="0.25">
      <c r="A11" s="10" t="s">
        <v>257</v>
      </c>
      <c r="E11" t="s">
        <v>59</v>
      </c>
      <c r="F11" s="16">
        <v>0</v>
      </c>
    </row>
    <row r="12" spans="1:18" x14ac:dyDescent="0.25">
      <c r="A12" s="10" t="s">
        <v>269</v>
      </c>
      <c r="B12" s="17"/>
      <c r="E12" t="s">
        <v>58</v>
      </c>
      <c r="F12" s="16">
        <v>0</v>
      </c>
    </row>
    <row r="13" spans="1:18" x14ac:dyDescent="0.25">
      <c r="A13" s="10" t="s">
        <v>268</v>
      </c>
      <c r="B13" s="17"/>
      <c r="E13" t="s">
        <v>57</v>
      </c>
      <c r="F13" s="16">
        <v>0</v>
      </c>
    </row>
    <row r="14" spans="1:18" x14ac:dyDescent="0.25">
      <c r="E14" t="s">
        <v>56</v>
      </c>
      <c r="F14" s="16">
        <v>0</v>
      </c>
    </row>
    <row r="15" spans="1:18" x14ac:dyDescent="0.25">
      <c r="E15" t="s">
        <v>55</v>
      </c>
      <c r="F15" s="16">
        <v>0</v>
      </c>
    </row>
    <row r="16" spans="1:18" x14ac:dyDescent="0.25">
      <c r="E16" t="s">
        <v>1</v>
      </c>
      <c r="F16" s="16">
        <v>0</v>
      </c>
    </row>
    <row r="17" spans="5:6" x14ac:dyDescent="0.25">
      <c r="E17" t="s">
        <v>54</v>
      </c>
      <c r="F17" s="16">
        <v>0</v>
      </c>
    </row>
    <row r="18" spans="5:6" x14ac:dyDescent="0.25">
      <c r="E18" t="s">
        <v>53</v>
      </c>
      <c r="F18" s="16">
        <v>0</v>
      </c>
    </row>
    <row r="19" spans="5:6" x14ac:dyDescent="0.25">
      <c r="E19" t="s">
        <v>52</v>
      </c>
      <c r="F19" s="16">
        <v>0</v>
      </c>
    </row>
    <row r="20" spans="5:6" x14ac:dyDescent="0.25">
      <c r="E20" t="s">
        <v>51</v>
      </c>
      <c r="F20" s="16">
        <v>0</v>
      </c>
    </row>
    <row r="21" spans="5:6" x14ac:dyDescent="0.25">
      <c r="E21" t="s">
        <v>50</v>
      </c>
      <c r="F21" s="16">
        <v>0</v>
      </c>
    </row>
    <row r="22" spans="5:6" x14ac:dyDescent="0.25">
      <c r="E22" t="s">
        <v>49</v>
      </c>
      <c r="F22" s="16">
        <v>0</v>
      </c>
    </row>
    <row r="23" spans="5:6" x14ac:dyDescent="0.25">
      <c r="E23" t="s">
        <v>48</v>
      </c>
      <c r="F23" s="16">
        <v>0</v>
      </c>
    </row>
    <row r="24" spans="5:6" x14ac:dyDescent="0.25">
      <c r="E24" t="s">
        <v>47</v>
      </c>
      <c r="F24" s="16">
        <v>0</v>
      </c>
    </row>
    <row r="25" spans="5:6" x14ac:dyDescent="0.25">
      <c r="E25" t="s">
        <v>46</v>
      </c>
      <c r="F25" s="16">
        <v>0</v>
      </c>
    </row>
    <row r="26" spans="5:6" x14ac:dyDescent="0.25">
      <c r="E26" s="10" t="s">
        <v>45</v>
      </c>
      <c r="F26" s="16">
        <v>0</v>
      </c>
    </row>
    <row r="27" spans="5:6" x14ac:dyDescent="0.25">
      <c r="E27" t="s">
        <v>44</v>
      </c>
      <c r="F27" s="16">
        <v>0</v>
      </c>
    </row>
    <row r="28" spans="5:6" x14ac:dyDescent="0.25">
      <c r="E28" t="s">
        <v>43</v>
      </c>
      <c r="F28" s="16">
        <v>0</v>
      </c>
    </row>
    <row r="29" spans="5:6" x14ac:dyDescent="0.25">
      <c r="E29" t="s">
        <v>42</v>
      </c>
      <c r="F29" s="16">
        <v>0</v>
      </c>
    </row>
    <row r="30" spans="5:6" x14ac:dyDescent="0.25">
      <c r="E30" t="s">
        <v>41</v>
      </c>
      <c r="F30" s="16">
        <v>0</v>
      </c>
    </row>
    <row r="31" spans="5:6" x14ac:dyDescent="0.25">
      <c r="E31" s="10" t="s">
        <v>9</v>
      </c>
      <c r="F31" s="16">
        <v>0</v>
      </c>
    </row>
    <row r="32" spans="5:6" x14ac:dyDescent="0.25">
      <c r="E32" t="s">
        <v>40</v>
      </c>
      <c r="F32" s="16">
        <v>0</v>
      </c>
    </row>
    <row r="33" spans="5:6" x14ac:dyDescent="0.25">
      <c r="E33" t="s">
        <v>39</v>
      </c>
      <c r="F33" s="16">
        <v>0</v>
      </c>
    </row>
    <row r="34" spans="5:6" x14ac:dyDescent="0.25">
      <c r="E34" t="s">
        <v>8</v>
      </c>
      <c r="F34" s="16">
        <v>0</v>
      </c>
    </row>
    <row r="35" spans="5:6" x14ac:dyDescent="0.25">
      <c r="E35" t="s">
        <v>38</v>
      </c>
      <c r="F35" s="16">
        <v>0</v>
      </c>
    </row>
    <row r="36" spans="5:6" x14ac:dyDescent="0.25">
      <c r="E36" t="s">
        <v>37</v>
      </c>
      <c r="F36" s="16">
        <v>0</v>
      </c>
    </row>
    <row r="37" spans="5:6" x14ac:dyDescent="0.25">
      <c r="E37" t="s">
        <v>36</v>
      </c>
      <c r="F37" s="16">
        <v>0</v>
      </c>
    </row>
    <row r="38" spans="5:6" x14ac:dyDescent="0.25">
      <c r="E38" t="s">
        <v>35</v>
      </c>
      <c r="F38" s="16">
        <v>0</v>
      </c>
    </row>
    <row r="39" spans="5:6" x14ac:dyDescent="0.25">
      <c r="E39" t="s">
        <v>34</v>
      </c>
      <c r="F39" s="16">
        <v>0</v>
      </c>
    </row>
    <row r="40" spans="5:6" x14ac:dyDescent="0.25">
      <c r="E40" t="s">
        <v>33</v>
      </c>
      <c r="F40" s="16">
        <v>0</v>
      </c>
    </row>
    <row r="41" spans="5:6" x14ac:dyDescent="0.25">
      <c r="E41" s="10" t="s">
        <v>7</v>
      </c>
      <c r="F41" s="16">
        <v>0</v>
      </c>
    </row>
    <row r="42" spans="5:6" x14ac:dyDescent="0.25">
      <c r="E42" t="s">
        <v>32</v>
      </c>
      <c r="F42" s="16">
        <v>0</v>
      </c>
    </row>
    <row r="43" spans="5:6" x14ac:dyDescent="0.25">
      <c r="E43" t="s">
        <v>31</v>
      </c>
      <c r="F43" s="16">
        <v>0</v>
      </c>
    </row>
    <row r="44" spans="5:6" x14ac:dyDescent="0.25">
      <c r="E44" t="s">
        <v>30</v>
      </c>
      <c r="F44" s="16">
        <v>0</v>
      </c>
    </row>
    <row r="45" spans="5:6" x14ac:dyDescent="0.25">
      <c r="E45" t="s">
        <v>29</v>
      </c>
      <c r="F45" s="16">
        <v>0</v>
      </c>
    </row>
    <row r="46" spans="5:6" x14ac:dyDescent="0.25">
      <c r="E46" t="s">
        <v>28</v>
      </c>
      <c r="F46" s="16">
        <v>0</v>
      </c>
    </row>
    <row r="47" spans="5:6" x14ac:dyDescent="0.25">
      <c r="E47" t="s">
        <v>27</v>
      </c>
      <c r="F47" s="16">
        <v>0</v>
      </c>
    </row>
    <row r="48" spans="5:6" x14ac:dyDescent="0.25">
      <c r="E48" t="s">
        <v>6</v>
      </c>
      <c r="F48" s="16">
        <v>0</v>
      </c>
    </row>
    <row r="49" spans="5:6" x14ac:dyDescent="0.25">
      <c r="E49" s="10" t="s">
        <v>26</v>
      </c>
      <c r="F49" s="16">
        <v>0</v>
      </c>
    </row>
    <row r="50" spans="5:6" x14ac:dyDescent="0.25">
      <c r="E50" t="s">
        <v>25</v>
      </c>
      <c r="F50" s="16">
        <v>0</v>
      </c>
    </row>
  </sheetData>
  <mergeCells count="3">
    <mergeCell ref="A1:B1"/>
    <mergeCell ref="E1:F1"/>
    <mergeCell ref="A10:B10"/>
  </mergeCell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0F22-C96D-4756-BBDF-06B4AB25525D}">
  <sheetPr codeName="Feuil12">
    <tabColor rgb="FFFF0000"/>
  </sheetPr>
  <dimension ref="A1:R50"/>
  <sheetViews>
    <sheetView zoomScale="78" zoomScaleNormal="78" workbookViewId="0">
      <selection activeCell="I2" sqref="I2:R3"/>
    </sheetView>
  </sheetViews>
  <sheetFormatPr baseColWidth="10" defaultRowHeight="15" x14ac:dyDescent="0.25"/>
  <cols>
    <col min="1" max="1" width="63.7109375" bestFit="1" customWidth="1"/>
    <col min="5" max="5" width="63.7109375" bestFit="1" customWidth="1"/>
    <col min="9" max="9" width="14.140625" customWidth="1"/>
    <col min="14" max="14" width="16.85546875" customWidth="1"/>
    <col min="16" max="16" width="13.7109375" customWidth="1"/>
    <col min="17" max="17" width="14.7109375" customWidth="1"/>
    <col min="18" max="18" width="17" customWidth="1"/>
  </cols>
  <sheetData>
    <row r="1" spans="1:18" x14ac:dyDescent="0.25">
      <c r="A1" s="105" t="s">
        <v>301</v>
      </c>
      <c r="B1" s="105"/>
      <c r="C1" s="15"/>
      <c r="E1" s="105" t="s">
        <v>302</v>
      </c>
      <c r="F1" s="105"/>
      <c r="I1" s="9" t="s">
        <v>24</v>
      </c>
      <c r="J1" s="8" t="s">
        <v>23</v>
      </c>
      <c r="K1" s="7" t="s">
        <v>22</v>
      </c>
      <c r="L1" s="6" t="s">
        <v>21</v>
      </c>
      <c r="M1" s="6" t="s">
        <v>20</v>
      </c>
      <c r="N1" s="6" t="s">
        <v>19</v>
      </c>
      <c r="O1" s="6" t="s">
        <v>18</v>
      </c>
      <c r="P1" s="6" t="s">
        <v>17</v>
      </c>
      <c r="Q1" s="6" t="s">
        <v>16</v>
      </c>
      <c r="R1" s="6" t="s">
        <v>15</v>
      </c>
    </row>
    <row r="2" spans="1:18" x14ac:dyDescent="0.25">
      <c r="A2" s="10" t="s">
        <v>65</v>
      </c>
      <c r="B2" s="16">
        <v>1000</v>
      </c>
      <c r="E2" s="10" t="s">
        <v>65</v>
      </c>
      <c r="F2" s="16">
        <v>0</v>
      </c>
      <c r="I2" s="5" t="s">
        <v>14</v>
      </c>
      <c r="J2" s="4"/>
      <c r="K2" s="3"/>
      <c r="L2" s="2"/>
      <c r="M2" s="2"/>
      <c r="N2" s="2"/>
      <c r="O2" s="2"/>
      <c r="P2" s="2"/>
      <c r="Q2" s="2"/>
      <c r="R2" s="2"/>
    </row>
    <row r="3" spans="1:18" x14ac:dyDescent="0.25">
      <c r="A3" s="10" t="s">
        <v>12</v>
      </c>
      <c r="B3" s="16">
        <v>2000</v>
      </c>
      <c r="E3" t="s">
        <v>64</v>
      </c>
      <c r="F3" s="16">
        <v>0</v>
      </c>
    </row>
    <row r="4" spans="1:18" x14ac:dyDescent="0.25">
      <c r="A4" s="10" t="s">
        <v>2</v>
      </c>
      <c r="B4" s="16">
        <v>10000</v>
      </c>
      <c r="E4" t="s">
        <v>63</v>
      </c>
      <c r="F4" s="16">
        <v>0</v>
      </c>
    </row>
    <row r="5" spans="1:18" x14ac:dyDescent="0.25">
      <c r="A5" s="10" t="s">
        <v>45</v>
      </c>
      <c r="B5" s="16">
        <v>5000</v>
      </c>
      <c r="E5" t="s">
        <v>62</v>
      </c>
      <c r="F5" s="16">
        <v>0</v>
      </c>
    </row>
    <row r="6" spans="1:18" x14ac:dyDescent="0.25">
      <c r="A6" s="10" t="s">
        <v>9</v>
      </c>
      <c r="B6" s="16">
        <v>2500</v>
      </c>
      <c r="E6" s="10" t="s">
        <v>12</v>
      </c>
      <c r="F6" s="16">
        <v>0</v>
      </c>
    </row>
    <row r="7" spans="1:18" x14ac:dyDescent="0.25">
      <c r="A7" s="10" t="s">
        <v>7</v>
      </c>
      <c r="B7" s="16">
        <v>500</v>
      </c>
      <c r="E7" t="s">
        <v>61</v>
      </c>
      <c r="F7" s="16">
        <v>0</v>
      </c>
    </row>
    <row r="8" spans="1:18" x14ac:dyDescent="0.25">
      <c r="A8" s="10" t="s">
        <v>26</v>
      </c>
      <c r="B8" s="16">
        <v>1200</v>
      </c>
      <c r="E8" t="s">
        <v>60</v>
      </c>
      <c r="F8" s="16">
        <v>0</v>
      </c>
    </row>
    <row r="9" spans="1:18" x14ac:dyDescent="0.25">
      <c r="E9" t="s">
        <v>11</v>
      </c>
      <c r="F9" s="16">
        <v>0</v>
      </c>
    </row>
    <row r="10" spans="1:18" x14ac:dyDescent="0.25">
      <c r="A10" s="106" t="s">
        <v>260</v>
      </c>
      <c r="B10" s="106"/>
      <c r="E10" s="10" t="s">
        <v>2</v>
      </c>
      <c r="F10" s="16">
        <v>0</v>
      </c>
    </row>
    <row r="11" spans="1:18" x14ac:dyDescent="0.25">
      <c r="A11" s="10" t="s">
        <v>257</v>
      </c>
      <c r="B11">
        <v>2022</v>
      </c>
      <c r="E11" t="s">
        <v>59</v>
      </c>
      <c r="F11" s="16">
        <v>0</v>
      </c>
    </row>
    <row r="12" spans="1:18" x14ac:dyDescent="0.25">
      <c r="A12" s="10" t="s">
        <v>269</v>
      </c>
      <c r="B12" s="17">
        <v>0</v>
      </c>
      <c r="E12" t="s">
        <v>58</v>
      </c>
      <c r="F12" s="16">
        <v>0</v>
      </c>
    </row>
    <row r="13" spans="1:18" x14ac:dyDescent="0.25">
      <c r="A13" s="10" t="s">
        <v>268</v>
      </c>
      <c r="B13" s="17">
        <v>28</v>
      </c>
      <c r="E13" t="s">
        <v>57</v>
      </c>
      <c r="F13" s="16">
        <v>0</v>
      </c>
    </row>
    <row r="14" spans="1:18" x14ac:dyDescent="0.25">
      <c r="E14" t="s">
        <v>56</v>
      </c>
      <c r="F14" s="16">
        <v>0</v>
      </c>
    </row>
    <row r="15" spans="1:18" x14ac:dyDescent="0.25">
      <c r="E15" t="s">
        <v>55</v>
      </c>
      <c r="F15" s="16">
        <v>0</v>
      </c>
    </row>
    <row r="16" spans="1:18" x14ac:dyDescent="0.25">
      <c r="E16" t="s">
        <v>1</v>
      </c>
      <c r="F16" s="16">
        <v>0</v>
      </c>
    </row>
    <row r="17" spans="5:6" x14ac:dyDescent="0.25">
      <c r="E17" t="s">
        <v>54</v>
      </c>
      <c r="F17" s="16">
        <v>0</v>
      </c>
    </row>
    <row r="18" spans="5:6" x14ac:dyDescent="0.25">
      <c r="E18" t="s">
        <v>53</v>
      </c>
      <c r="F18" s="16">
        <v>0</v>
      </c>
    </row>
    <row r="19" spans="5:6" x14ac:dyDescent="0.25">
      <c r="E19" t="s">
        <v>52</v>
      </c>
      <c r="F19" s="16">
        <v>0</v>
      </c>
    </row>
    <row r="20" spans="5:6" x14ac:dyDescent="0.25">
      <c r="E20" t="s">
        <v>51</v>
      </c>
      <c r="F20" s="16">
        <v>0</v>
      </c>
    </row>
    <row r="21" spans="5:6" x14ac:dyDescent="0.25">
      <c r="E21" t="s">
        <v>50</v>
      </c>
      <c r="F21" s="16">
        <v>0</v>
      </c>
    </row>
    <row r="22" spans="5:6" x14ac:dyDescent="0.25">
      <c r="E22" t="s">
        <v>49</v>
      </c>
      <c r="F22" s="16">
        <v>0</v>
      </c>
    </row>
    <row r="23" spans="5:6" x14ac:dyDescent="0.25">
      <c r="E23" t="s">
        <v>48</v>
      </c>
      <c r="F23" s="16">
        <v>0</v>
      </c>
    </row>
    <row r="24" spans="5:6" x14ac:dyDescent="0.25">
      <c r="E24" t="s">
        <v>47</v>
      </c>
      <c r="F24" s="16">
        <v>0</v>
      </c>
    </row>
    <row r="25" spans="5:6" x14ac:dyDescent="0.25">
      <c r="E25" t="s">
        <v>46</v>
      </c>
      <c r="F25" s="16">
        <v>0</v>
      </c>
    </row>
    <row r="26" spans="5:6" x14ac:dyDescent="0.25">
      <c r="E26" s="10" t="s">
        <v>45</v>
      </c>
      <c r="F26" s="16">
        <v>0</v>
      </c>
    </row>
    <row r="27" spans="5:6" x14ac:dyDescent="0.25">
      <c r="E27" t="s">
        <v>44</v>
      </c>
      <c r="F27" s="16">
        <v>0</v>
      </c>
    </row>
    <row r="28" spans="5:6" x14ac:dyDescent="0.25">
      <c r="E28" t="s">
        <v>43</v>
      </c>
      <c r="F28" s="16">
        <v>0</v>
      </c>
    </row>
    <row r="29" spans="5:6" x14ac:dyDescent="0.25">
      <c r="E29" t="s">
        <v>42</v>
      </c>
      <c r="F29" s="16">
        <v>0</v>
      </c>
    </row>
    <row r="30" spans="5:6" x14ac:dyDescent="0.25">
      <c r="E30" t="s">
        <v>41</v>
      </c>
      <c r="F30" s="16">
        <v>0</v>
      </c>
    </row>
    <row r="31" spans="5:6" x14ac:dyDescent="0.25">
      <c r="E31" s="10" t="s">
        <v>9</v>
      </c>
      <c r="F31" s="16">
        <v>0</v>
      </c>
    </row>
    <row r="32" spans="5:6" x14ac:dyDescent="0.25">
      <c r="E32" t="s">
        <v>40</v>
      </c>
      <c r="F32" s="16">
        <v>0</v>
      </c>
    </row>
    <row r="33" spans="5:6" x14ac:dyDescent="0.25">
      <c r="E33" t="s">
        <v>39</v>
      </c>
      <c r="F33" s="16">
        <v>0</v>
      </c>
    </row>
    <row r="34" spans="5:6" x14ac:dyDescent="0.25">
      <c r="E34" t="s">
        <v>8</v>
      </c>
      <c r="F34" s="16">
        <v>0</v>
      </c>
    </row>
    <row r="35" spans="5:6" x14ac:dyDescent="0.25">
      <c r="E35" t="s">
        <v>38</v>
      </c>
      <c r="F35" s="16">
        <v>0</v>
      </c>
    </row>
    <row r="36" spans="5:6" x14ac:dyDescent="0.25">
      <c r="E36" t="s">
        <v>37</v>
      </c>
      <c r="F36" s="16">
        <v>0</v>
      </c>
    </row>
    <row r="37" spans="5:6" x14ac:dyDescent="0.25">
      <c r="E37" t="s">
        <v>36</v>
      </c>
      <c r="F37" s="16">
        <v>0</v>
      </c>
    </row>
    <row r="38" spans="5:6" x14ac:dyDescent="0.25">
      <c r="E38" t="s">
        <v>35</v>
      </c>
      <c r="F38" s="16">
        <v>0</v>
      </c>
    </row>
    <row r="39" spans="5:6" x14ac:dyDescent="0.25">
      <c r="E39" t="s">
        <v>34</v>
      </c>
      <c r="F39" s="16">
        <v>0</v>
      </c>
    </row>
    <row r="40" spans="5:6" x14ac:dyDescent="0.25">
      <c r="E40" t="s">
        <v>33</v>
      </c>
      <c r="F40" s="16">
        <v>0</v>
      </c>
    </row>
    <row r="41" spans="5:6" x14ac:dyDescent="0.25">
      <c r="E41" s="10" t="s">
        <v>7</v>
      </c>
      <c r="F41" s="16">
        <v>0</v>
      </c>
    </row>
    <row r="42" spans="5:6" x14ac:dyDescent="0.25">
      <c r="E42" t="s">
        <v>32</v>
      </c>
      <c r="F42" s="16">
        <v>0</v>
      </c>
    </row>
    <row r="43" spans="5:6" x14ac:dyDescent="0.25">
      <c r="E43" t="s">
        <v>31</v>
      </c>
      <c r="F43" s="16">
        <v>0</v>
      </c>
    </row>
    <row r="44" spans="5:6" x14ac:dyDescent="0.25">
      <c r="E44" t="s">
        <v>30</v>
      </c>
      <c r="F44" s="16">
        <v>0</v>
      </c>
    </row>
    <row r="45" spans="5:6" x14ac:dyDescent="0.25">
      <c r="E45" t="s">
        <v>29</v>
      </c>
      <c r="F45" s="16">
        <v>0</v>
      </c>
    </row>
    <row r="46" spans="5:6" x14ac:dyDescent="0.25">
      <c r="E46" t="s">
        <v>28</v>
      </c>
      <c r="F46" s="16">
        <v>0</v>
      </c>
    </row>
    <row r="47" spans="5:6" x14ac:dyDescent="0.25">
      <c r="E47" t="s">
        <v>27</v>
      </c>
      <c r="F47" s="16">
        <v>0</v>
      </c>
    </row>
    <row r="48" spans="5:6" x14ac:dyDescent="0.25">
      <c r="E48" t="s">
        <v>6</v>
      </c>
      <c r="F48" s="16">
        <v>0</v>
      </c>
    </row>
    <row r="49" spans="5:6" x14ac:dyDescent="0.25">
      <c r="E49" s="10" t="s">
        <v>26</v>
      </c>
      <c r="F49" s="16">
        <v>0</v>
      </c>
    </row>
    <row r="50" spans="5:6" x14ac:dyDescent="0.25">
      <c r="E50" t="s">
        <v>25</v>
      </c>
      <c r="F50" s="16">
        <v>0</v>
      </c>
    </row>
  </sheetData>
  <sortState xmlns:xlrd2="http://schemas.microsoft.com/office/spreadsheetml/2017/richdata2" ref="I2:R3">
    <sortCondition descending="1" ref="J2:J3"/>
  </sortState>
  <mergeCells count="3">
    <mergeCell ref="A1:B1"/>
    <mergeCell ref="E1:F1"/>
    <mergeCell ref="A10:B10"/>
  </mergeCell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B2923-9594-49A6-AB7D-0D310873D9BC}">
  <sheetPr codeName="Feuil5"/>
  <dimension ref="B1:J16"/>
  <sheetViews>
    <sheetView topLeftCell="C1" zoomScale="85" zoomScaleNormal="85" workbookViewId="0">
      <selection activeCell="F42" sqref="F42"/>
    </sheetView>
  </sheetViews>
  <sheetFormatPr baseColWidth="10" defaultRowHeight="15" x14ac:dyDescent="0.25"/>
  <cols>
    <col min="2" max="2" width="29.85546875" bestFit="1" customWidth="1"/>
    <col min="3" max="3" width="64" bestFit="1" customWidth="1"/>
    <col min="4" max="4" width="34.42578125" bestFit="1" customWidth="1"/>
    <col min="5" max="5" width="40.5703125" bestFit="1" customWidth="1"/>
    <col min="6" max="6" width="60.5703125" bestFit="1" customWidth="1"/>
    <col min="7" max="7" width="42.42578125" bestFit="1" customWidth="1"/>
    <col min="8" max="8" width="64" bestFit="1" customWidth="1"/>
    <col min="9" max="9" width="39.140625" bestFit="1" customWidth="1"/>
    <col min="10" max="10" width="9.140625" bestFit="1" customWidth="1"/>
  </cols>
  <sheetData>
    <row r="1" spans="2:10" x14ac:dyDescent="0.25">
      <c r="B1" s="28" t="s">
        <v>17</v>
      </c>
      <c r="C1" s="27" t="s">
        <v>262</v>
      </c>
      <c r="D1" s="10" t="s">
        <v>65</v>
      </c>
      <c r="E1" s="10" t="s">
        <v>12</v>
      </c>
      <c r="F1" s="10" t="s">
        <v>2</v>
      </c>
      <c r="G1" s="10" t="s">
        <v>45</v>
      </c>
      <c r="H1" s="10" t="s">
        <v>9</v>
      </c>
      <c r="I1" s="10" t="s">
        <v>7</v>
      </c>
      <c r="J1" s="10" t="s">
        <v>263</v>
      </c>
    </row>
    <row r="2" spans="2:10" x14ac:dyDescent="0.25">
      <c r="B2" t="s">
        <v>264</v>
      </c>
      <c r="C2" s="10" t="s">
        <v>65</v>
      </c>
      <c r="D2" t="s">
        <v>64</v>
      </c>
      <c r="E2" t="s">
        <v>61</v>
      </c>
      <c r="F2" t="s">
        <v>59</v>
      </c>
      <c r="G2" t="s">
        <v>44</v>
      </c>
      <c r="H2" t="s">
        <v>40</v>
      </c>
      <c r="I2" t="s">
        <v>32</v>
      </c>
      <c r="J2" t="s">
        <v>25</v>
      </c>
    </row>
    <row r="3" spans="2:10" x14ac:dyDescent="0.25">
      <c r="B3" t="s">
        <v>265</v>
      </c>
      <c r="C3" s="10" t="s">
        <v>12</v>
      </c>
      <c r="D3" t="s">
        <v>63</v>
      </c>
      <c r="E3" t="s">
        <v>60</v>
      </c>
      <c r="F3" t="s">
        <v>58</v>
      </c>
      <c r="G3" t="s">
        <v>43</v>
      </c>
      <c r="H3" t="s">
        <v>39</v>
      </c>
      <c r="I3" t="s">
        <v>31</v>
      </c>
    </row>
    <row r="4" spans="2:10" x14ac:dyDescent="0.25">
      <c r="B4" t="s">
        <v>5</v>
      </c>
      <c r="C4" s="10" t="s">
        <v>2</v>
      </c>
      <c r="D4" t="s">
        <v>62</v>
      </c>
      <c r="E4" t="s">
        <v>11</v>
      </c>
      <c r="F4" t="s">
        <v>57</v>
      </c>
      <c r="G4" t="s">
        <v>42</v>
      </c>
      <c r="H4" t="s">
        <v>8</v>
      </c>
      <c r="I4" t="s">
        <v>30</v>
      </c>
    </row>
    <row r="5" spans="2:10" x14ac:dyDescent="0.25">
      <c r="B5" t="s">
        <v>266</v>
      </c>
      <c r="C5" s="10" t="s">
        <v>45</v>
      </c>
      <c r="F5" t="s">
        <v>56</v>
      </c>
      <c r="G5" t="s">
        <v>41</v>
      </c>
      <c r="H5" t="s">
        <v>38</v>
      </c>
      <c r="I5" t="s">
        <v>29</v>
      </c>
    </row>
    <row r="6" spans="2:10" x14ac:dyDescent="0.25">
      <c r="B6" t="s">
        <v>267</v>
      </c>
      <c r="C6" s="10" t="s">
        <v>9</v>
      </c>
      <c r="F6" t="s">
        <v>55</v>
      </c>
      <c r="H6" t="s">
        <v>37</v>
      </c>
      <c r="I6" t="s">
        <v>28</v>
      </c>
    </row>
    <row r="7" spans="2:10" x14ac:dyDescent="0.25">
      <c r="C7" s="10" t="s">
        <v>7</v>
      </c>
      <c r="F7" t="s">
        <v>1</v>
      </c>
      <c r="H7" t="s">
        <v>36</v>
      </c>
      <c r="I7" t="s">
        <v>27</v>
      </c>
    </row>
    <row r="8" spans="2:10" x14ac:dyDescent="0.25">
      <c r="C8" s="10" t="s">
        <v>26</v>
      </c>
      <c r="F8" t="s">
        <v>54</v>
      </c>
      <c r="H8" t="s">
        <v>35</v>
      </c>
      <c r="I8" t="s">
        <v>6</v>
      </c>
    </row>
    <row r="9" spans="2:10" x14ac:dyDescent="0.25">
      <c r="F9" t="s">
        <v>53</v>
      </c>
      <c r="H9" t="s">
        <v>34</v>
      </c>
    </row>
    <row r="10" spans="2:10" x14ac:dyDescent="0.25">
      <c r="F10" t="s">
        <v>52</v>
      </c>
      <c r="H10" t="s">
        <v>33</v>
      </c>
    </row>
    <row r="11" spans="2:10" x14ac:dyDescent="0.25">
      <c r="F11" t="s">
        <v>51</v>
      </c>
    </row>
    <row r="12" spans="2:10" x14ac:dyDescent="0.25">
      <c r="F12" t="s">
        <v>50</v>
      </c>
    </row>
    <row r="13" spans="2:10" x14ac:dyDescent="0.25">
      <c r="F13" t="s">
        <v>49</v>
      </c>
    </row>
    <row r="14" spans="2:10" x14ac:dyDescent="0.25">
      <c r="F14" t="s">
        <v>48</v>
      </c>
    </row>
    <row r="15" spans="2:10" x14ac:dyDescent="0.25">
      <c r="F15" t="s">
        <v>47</v>
      </c>
    </row>
    <row r="16" spans="2:10" x14ac:dyDescent="0.25">
      <c r="F16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Accueil</vt:lpstr>
      <vt:lpstr>Listes</vt:lpstr>
      <vt:lpstr>ComparaisonBudgetA</vt:lpstr>
      <vt:lpstr>Impression (2)</vt:lpstr>
      <vt:lpstr>ComparaisonBudgetB</vt:lpstr>
      <vt:lpstr>GraphCompa</vt:lpstr>
      <vt:lpstr>Impression</vt:lpstr>
      <vt:lpstr>ListeEnseignants</vt:lpstr>
      <vt:lpstr>ExempleListeFactures</vt:lpstr>
      <vt:lpstr>ListeFournisseurs</vt:lpstr>
      <vt:lpstr>FraisBudget2020</vt:lpstr>
      <vt:lpstr>FraisBudget</vt:lpstr>
      <vt:lpstr>FraisBudget2022</vt:lpstr>
      <vt:lpstr>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Compte administrateur</dc:creator>
  <cp:lastModifiedBy>Compte administrateur</cp:lastModifiedBy>
  <cp:lastPrinted>2021-10-06T16:38:15Z</cp:lastPrinted>
  <dcterms:created xsi:type="dcterms:W3CDTF">2015-06-05T18:19:34Z</dcterms:created>
  <dcterms:modified xsi:type="dcterms:W3CDTF">2022-10-08T20:00:13Z</dcterms:modified>
</cp:coreProperties>
</file>